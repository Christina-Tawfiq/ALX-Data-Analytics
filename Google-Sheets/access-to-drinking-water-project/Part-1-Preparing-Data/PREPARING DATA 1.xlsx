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5"/>
    <sheet state="visible" name="Pivot Table 5" sheetId="2" r:id="rId6"/>
    <sheet state="visible" name="Income group pivot Table " sheetId="3" r:id="rId7"/>
    <sheet state="visible" name="Rural pivot Table " sheetId="4" r:id="rId8"/>
    <sheet state="visible" name="Urban pivot Table " sheetId="5" r:id="rId9"/>
    <sheet state="visible" name="National pivot Table " sheetId="6" r:id="rId10"/>
    <sheet state="visible" name="Global 2020 Report" sheetId="7" r:id="rId11"/>
  </sheets>
  <definedNames/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<sst xmlns="http://schemas.openxmlformats.org/spreadsheetml/2006/main" count="1558" uniqueCount="286">
  <si>
    <t>name</t>
  </si>
  <si>
    <t>income_group</t>
  </si>
  <si>
    <t>pop_n (k)</t>
  </si>
  <si>
    <t>pop_u%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</si>
  <si>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</si>
  <si>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</si>
  <si>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</si>
  <si>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</si>
  <si>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</si>
  <si>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</si>
  <si>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</si>
  <si>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</si>
  <si>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</si>
  <si>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</si>
  <si>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</si>
  <si>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</si>
  <si>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pop_n_actual</t>
  </si>
  <si>
    <t>pop_u_val</t>
  </si>
  <si>
    <t>pop_r%</t>
  </si>
  <si>
    <t>pop_n (m)</t>
  </si>
  <si>
    <t xml:space="preserve"> wat_bas_n (rounded)</t>
  </si>
  <si>
    <t>pop_u (rounded)%</t>
  </si>
  <si>
    <t>pop_r (rounded)%</t>
  </si>
  <si>
    <t>income_group_num</t>
  </si>
  <si>
    <t xml:space="preserve"> 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</si>
  <si>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</si>
  <si>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</si>
  <si>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</si>
  <si>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</si>
  <si>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</si>
  <si>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</si>
  <si>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</si>
  <si>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</si>
  <si>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</si>
  <si>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</si>
  <si>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</si>
  <si>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</si>
  <si>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</si>
  <si>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</si>
  <si>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</si>
  <si>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</si>
  <si>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</si>
  <si>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</si>
  <si>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</si>
  <si>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</si>
  <si>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</si>
  <si>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</si>
  <si>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</si>
  <si>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</si>
  <si>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</si>
  <si>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</si>
  <si>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</si>
  <si>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</si>
  <si>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</si>
  <si>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</si>
  <si>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AVERAGE of wat_unimp_n</t>
  </si>
  <si>
    <t>AVERAGE of wat_lim_n</t>
  </si>
  <si>
    <t>AVERAGE of wat_sur_n</t>
  </si>
  <si>
    <t>Tonga</t>
  </si>
  <si>
    <t>Low income</t>
  </si>
  <si>
    <t>Lower middle income</t>
  </si>
  <si>
    <t>Grand Total</t>
  </si>
  <si>
    <t>Kiribati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</si>
  <si>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</si>
  <si>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</si>
  <si>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</si>
  <si>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</si>
  <si>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</si>
  <si>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</si>
  <si>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</si>
  <si>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</si>
  <si>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</si>
  <si>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</si>
  <si>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</si>
  <si>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AVERAGE of wat_bas_r</t>
  </si>
  <si>
    <t>AVERAGE of wat_lim_r</t>
  </si>
  <si>
    <t>AVERAGE of wat_unimp_r</t>
  </si>
  <si>
    <t>AVERAGE of wat_sur_r</t>
  </si>
  <si>
    <t>China, Hong Kong SAR</t>
  </si>
  <si>
    <t>China, Macao SAR</t>
  </si>
  <si>
    <t>Martinique</t>
  </si>
  <si>
    <t>Kuwait</t>
  </si>
  <si>
    <t>Réunion</t>
  </si>
  <si>
    <t>Singapore</t>
  </si>
  <si>
    <t>Qatar</t>
  </si>
  <si>
    <t>Belize</t>
  </si>
  <si>
    <t>Belgium</t>
  </si>
  <si>
    <t>Guadeloupe</t>
  </si>
  <si>
    <t>Uruguay</t>
  </si>
  <si>
    <t>Malta</t>
  </si>
  <si>
    <t>Puerto Rico</t>
  </si>
  <si>
    <t>Israel</t>
  </si>
  <si>
    <t>Argentina</t>
  </si>
  <si>
    <t>Japan</t>
  </si>
  <si>
    <t>Netherlands</t>
  </si>
  <si>
    <t>Jordan</t>
  </si>
  <si>
    <t>Luxembourg</t>
  </si>
  <si>
    <t>Brunei Darussalam</t>
  </si>
  <si>
    <t>Bahrain</t>
  </si>
  <si>
    <t>Gabon</t>
  </si>
  <si>
    <t>Lebanon</t>
  </si>
  <si>
    <t>Chile</t>
  </si>
  <si>
    <t>Denmark</t>
  </si>
  <si>
    <t>Sweden</t>
  </si>
  <si>
    <t>Venezuela (Bolivarian Republic of)</t>
  </si>
  <si>
    <t>Brazil</t>
  </si>
  <si>
    <t>New Zealand</t>
  </si>
  <si>
    <t>United Arab Emirates</t>
  </si>
  <si>
    <t>Australia</t>
  </si>
  <si>
    <t>Finland</t>
  </si>
  <si>
    <t>Oman</t>
  </si>
  <si>
    <t>Saudi Arabia</t>
  </si>
  <si>
    <t>United Kingdom</t>
  </si>
  <si>
    <t>Maldives</t>
  </si>
  <si>
    <t>Dominican Republic</t>
  </si>
  <si>
    <t>Norway</t>
  </si>
  <si>
    <t>United States of America</t>
  </si>
  <si>
    <t>Canada</t>
  </si>
  <si>
    <t>Colombia</t>
  </si>
  <si>
    <t>Costa Rica</t>
  </si>
  <si>
    <t>France</t>
  </si>
  <si>
    <t>Libya</t>
  </si>
  <si>
    <t>Mexico</t>
  </si>
  <si>
    <t>Cabo Verde</t>
  </si>
  <si>
    <t>Republic of Korea</t>
  </si>
  <si>
    <t>Spain</t>
  </si>
  <si>
    <t>Greece</t>
  </si>
  <si>
    <t>Belarus</t>
  </si>
  <si>
    <t>Suriname</t>
  </si>
  <si>
    <t>Djibouti</t>
  </si>
  <si>
    <t>Peru</t>
  </si>
  <si>
    <t>Cuba</t>
  </si>
  <si>
    <t>Germany</t>
  </si>
  <si>
    <t>Malaysia</t>
  </si>
  <si>
    <t>West Bank and Gaza Strip</t>
  </si>
  <si>
    <t>Bulgaria</t>
  </si>
  <si>
    <t>Iran (Islamic Republic of)</t>
  </si>
  <si>
    <t>Turkey</t>
  </si>
  <si>
    <t>Russian Federation</t>
  </si>
  <si>
    <t>Algeria</t>
  </si>
  <si>
    <t>Montenegro</t>
  </si>
  <si>
    <t>Czech Republic</t>
  </si>
  <si>
    <t>Switzerland</t>
  </si>
  <si>
    <t>El Salvador</t>
  </si>
  <si>
    <t>Hungary</t>
  </si>
  <si>
    <t>Botswana</t>
  </si>
  <si>
    <t>Iraq</t>
  </si>
  <si>
    <t>Italy</t>
  </si>
  <si>
    <t>Bolivia (Plurinational State of)</t>
  </si>
  <si>
    <t>Tunisia</t>
  </si>
  <si>
    <t>Ukraine</t>
  </si>
  <si>
    <t>Estonia</t>
  </si>
  <si>
    <t>Mongolia</t>
  </si>
  <si>
    <t>Congo</t>
  </si>
  <si>
    <t>Latvia</t>
  </si>
  <si>
    <t>Lithuania</t>
  </si>
  <si>
    <t>Solomon Islands</t>
  </si>
  <si>
    <t>Panama</t>
  </si>
  <si>
    <t>Angola</t>
  </si>
  <si>
    <t>Cyprus</t>
  </si>
  <si>
    <t>South Africa</t>
  </si>
  <si>
    <t>Portugal</t>
  </si>
  <si>
    <t>Bhutan</t>
  </si>
  <si>
    <t>Ecuador</t>
  </si>
  <si>
    <t>Ireland</t>
  </si>
  <si>
    <t>Morocco</t>
  </si>
  <si>
    <t>Armenia</t>
  </si>
  <si>
    <t>Gambia</t>
  </si>
  <si>
    <t>Guyana</t>
  </si>
  <si>
    <t>Albania</t>
  </si>
  <si>
    <t>China</t>
  </si>
  <si>
    <t>Democratic People's Republic of Korea</t>
  </si>
  <si>
    <t>Paraguay</t>
  </si>
  <si>
    <t>Poland</t>
  </si>
  <si>
    <t>Austria</t>
  </si>
  <si>
    <t>Georgia</t>
  </si>
  <si>
    <t>Nicaragua</t>
  </si>
  <si>
    <t>Cameroon</t>
  </si>
  <si>
    <t>Croatia</t>
  </si>
  <si>
    <t>Honduras</t>
  </si>
  <si>
    <t>Kazakhstan</t>
  </si>
  <si>
    <t>North Macedonia</t>
  </si>
  <si>
    <t>Fiji</t>
  </si>
  <si>
    <t>Ghana</t>
  </si>
  <si>
    <t>Haiti</t>
  </si>
  <si>
    <t>Indonesia</t>
  </si>
  <si>
    <t>Azerbaijan</t>
  </si>
  <si>
    <t>Jamaica</t>
  </si>
  <si>
    <t>Serbia</t>
  </si>
  <si>
    <t>Mauritania</t>
  </si>
  <si>
    <t>Slovenia</t>
  </si>
  <si>
    <t>Syrian Arab Republic</t>
  </si>
  <si>
    <t>Romania</t>
  </si>
  <si>
    <t>Slovakia</t>
  </si>
  <si>
    <t>Trinidad and Tobago</t>
  </si>
  <si>
    <t>Turkmenistan</t>
  </si>
  <si>
    <t>Eswatini</t>
  </si>
  <si>
    <t>Côte d'Ivoire</t>
  </si>
  <si>
    <t>Guatemala</t>
  </si>
  <si>
    <t>Liberia</t>
  </si>
  <si>
    <t>Namibia</t>
  </si>
  <si>
    <t>Nigeria</t>
  </si>
  <si>
    <t>Thailand</t>
  </si>
  <si>
    <t>Uzbekistan</t>
  </si>
  <si>
    <t>Bosnia and Herzegovina</t>
  </si>
  <si>
    <t>Benin</t>
  </si>
  <si>
    <t>Senegal</t>
  </si>
  <si>
    <t>Philippines</t>
  </si>
  <si>
    <t>Democratic Republic of the Congo</t>
  </si>
  <si>
    <t>Mauritius</t>
  </si>
  <si>
    <t>Somalia</t>
  </si>
  <si>
    <t>Zambia</t>
  </si>
  <si>
    <t>Guinea-Bissau</t>
  </si>
  <si>
    <t>Mali</t>
  </si>
  <si>
    <t>Egypt</t>
  </si>
  <si>
    <t>Timor-Leste</t>
  </si>
  <si>
    <t>Republic of Moldova</t>
  </si>
  <si>
    <t>Sierra Leone</t>
  </si>
  <si>
    <t>Togo</t>
  </si>
  <si>
    <t>Central African Republic</t>
  </si>
  <si>
    <t>Madagascar</t>
  </si>
  <si>
    <t>Bangladesh</t>
  </si>
  <si>
    <t>Yemen</t>
  </si>
  <si>
    <t>Guinea</t>
  </si>
  <si>
    <t>Kyrgyzstan</t>
  </si>
  <si>
    <t>Mozambique</t>
  </si>
  <si>
    <t>Pakistan</t>
  </si>
  <si>
    <t>Viet Nam</t>
  </si>
  <si>
    <t>Lao People's Democratic Republic</t>
  </si>
  <si>
    <t>India</t>
  </si>
  <si>
    <t>Sudan</t>
  </si>
  <si>
    <t>United Republic of Tanzania</t>
  </si>
  <si>
    <t>Zimbabwe</t>
  </si>
  <si>
    <t>Burkina Faso</t>
  </si>
  <si>
    <t>Myanmar</t>
  </si>
  <si>
    <t>Lesotho</t>
  </si>
  <si>
    <t>Kenya</t>
  </si>
  <si>
    <t>Tajikistan</t>
  </si>
  <si>
    <t>Afghanistan</t>
  </si>
  <si>
    <t>Uganda</t>
  </si>
  <si>
    <t>Cambodia</t>
  </si>
  <si>
    <t>Chad</t>
  </si>
  <si>
    <t>Ethiopia</t>
  </si>
  <si>
    <t>Nepal</t>
  </si>
  <si>
    <t>South Sudan</t>
  </si>
  <si>
    <t>Sri Lanka</t>
  </si>
  <si>
    <t>Malawi</t>
  </si>
  <si>
    <t>Niger</t>
  </si>
  <si>
    <t>Rwanda</t>
  </si>
  <si>
    <t>Burundi</t>
  </si>
  <si>
    <t>Papua New Guinea</t>
  </si>
  <si>
    <t>SUM of pop_n (m)</t>
  </si>
  <si>
    <t>AVERAGE of pop_u (rounded)%</t>
  </si>
  <si>
    <t>AVERAGE of wat_bas_n</t>
  </si>
  <si>
    <t>0 → NaN</t>
  </si>
  <si>
    <t>1 → Low income</t>
  </si>
  <si>
    <t>2 → Lower middle income</t>
  </si>
  <si>
    <t>3 → Upper middle income</t>
  </si>
  <si>
    <t>4 → High income</t>
  </si>
  <si>
    <t>AVERAGE of wat_bas_u</t>
  </si>
  <si>
    <t>AVERAGE of wat_lim_u</t>
  </si>
  <si>
    <t>AVERAGE of wat_unimp_u</t>
  </si>
  <si>
    <t>AVERAGE of wat_sur_u</t>
  </si>
  <si>
    <t>total_pop_n_actual</t>
  </si>
  <si>
    <t>estimated_pop_n</t>
  </si>
  <si>
    <t>total_pop_u_val</t>
  </si>
  <si>
    <t>estimated_pop_u_val</t>
  </si>
  <si>
    <t>estimated_pop_u%</t>
  </si>
  <si>
    <t>percentage_difference_pop_n</t>
  </si>
  <si>
    <t>percentage_difference_pop_u</t>
  </si>
  <si>
    <t>percentage_difference_pop_u%</t>
  </si>
  <si>
    <t>AVERAGE</t>
  </si>
  <si>
    <t>min</t>
  </si>
  <si>
    <t>q1</t>
  </si>
  <si>
    <t>median q2</t>
  </si>
  <si>
    <t>q3</t>
  </si>
  <si>
    <t>max</t>
  </si>
  <si>
    <t>mean</t>
  </si>
  <si>
    <t>mode</t>
  </si>
  <si>
    <t>range</t>
  </si>
  <si>
    <t>(IQR)interquartile range</t>
  </si>
  <si>
    <t>standard deviation</t>
  </si>
  <si>
    <t>wat_bas_n_rounded</t>
  </si>
  <si>
    <t>NATIONAL PIVOT TABLE</t>
  </si>
  <si>
    <t>URBAN PIVOT TABLE</t>
  </si>
  <si>
    <t>RURAL PIVOT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</si>
</sst>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Alignment="1" applyFill="1" applyFont="1">
      <alignment readingOrder="0"/>
    </xf>
    <xf borderId="1" fillId="0" fontId="2" numFmtId="0" xfId="0" applyAlignment="1" applyBorder="1" applyFont="1">
      <alignment vertical="bottom"/>
    </xf>
    <xf borderId="1" fillId="6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6" fontId="2" numFmtId="0" xfId="0" applyAlignment="1" applyBorder="1" applyFill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4" fontId="2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6" fontId="2" numFmtId="0" xfId="0" applyAlignment="1" applyBorder="1" applyFill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wat_unimp_n, AVERAGE of wat_lim_n and AVERAGE of wat_sur_n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5'!$A$2:$A$3</c:f>
            </c:strRef>
          </c:cat>
          <c:val>
            <c:numRef>
              <c:f>'Pivot Table 5'!$B$2:$B$3</c:f>
              <c:numCache/>
            </c:numRef>
          </c:val>
        </c:ser>
        <c:ser>
          <c:idx val="1"/>
          <c:order val="1"/>
          <c:tx>
            <c:strRef>
              <c:f>'Pivot Table 5'!$C$1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5'!$A$2:$A$3</c:f>
            </c:strRef>
          </c:cat>
          <c:val>
            <c:numRef>
              <c:f>'Pivot Table 5'!$C$2:$C$3</c:f>
              <c:numCache/>
            </c:numRef>
          </c:val>
        </c:ser>
        <c:ser>
          <c:idx val="2"/>
          <c:order val="2"/>
          <c:tx>
            <c:strRef>
              <c:f>'Pivot Table 5'!$D$1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Table 5'!$A$2:$A$3</c:f>
            </c:strRef>
          </c:cat>
          <c:val>
            <c:numRef>
              <c:f>'Pivot Table 5'!$D$2:$D$3</c:f>
              <c:numCache/>
            </c:numRef>
          </c:val>
        </c:ser>
        <c:axId val="1168038729"/>
        <c:axId val="1974278518"/>
      </c:barChart>
      <c:catAx>
        <c:axId val="1168038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278518"/>
      </c:catAx>
      <c:valAx>
        <c:axId val="1974278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038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population vs. income group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'Income group pivot Table 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'Income group pivot Table '!$A$2:$A$7</c:f>
            </c:strRef>
          </c:cat>
          <c:val>
            <c:numRef>
              <c:f>'Income group pivot Table '!$B$2:$B$7</c:f>
              <c:numCache/>
            </c:numRef>
          </c:val>
        </c:ser>
        <c:axId val="628053243"/>
        <c:axId val="1712226645"/>
      </c:barChart>
      <c:catAx>
        <c:axId val="628053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income_group_num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226645"/>
      </c:catAx>
      <c:valAx>
        <c:axId val="1712226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pop_n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053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income group vs. urbanization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'Income group pivot Table '!$A$1:$A$6</c:f>
            </c:strRef>
          </c:cat>
          <c:val>
            <c:numRef>
              <c:f>'Income group pivot Table '!$C$1:$C$6</c:f>
              <c:numCache/>
            </c:numRef>
          </c:val>
        </c:ser>
        <c:axId val="1026441091"/>
        <c:axId val="941761951"/>
      </c:barChart>
      <c:catAx>
        <c:axId val="1026441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income_group_num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761951"/>
      </c:catAx>
      <c:valAx>
        <c:axId val="941761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441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'Income group pivot Table 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'Income group pivot Table '!$D$2:$D$7</c:f>
              <c:numCache/>
            </c:numRef>
          </c:val>
          <c:smooth val="0"/>
        </c:ser>
        <c:ser>
          <c:idx val="1"/>
          <c:order val="1"/>
          <c:tx>
            <c:strRef>
              <c:f>'Income group pivot Table 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'Income group pivot Table '!$C$2:$C$7</c:f>
              <c:numCache/>
            </c:numRef>
          </c:val>
          <c:smooth val="0"/>
        </c:ser>
        <c:axId val="268101818"/>
        <c:axId val="1093549290"/>
      </c:lineChart>
      <c:catAx>
        <c:axId val="268101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549290"/>
      </c:catAx>
      <c:valAx>
        <c:axId val="1093549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101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BASIC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'Income group pivot Table '!$A$3:$A$6</c:f>
            </c:strRef>
          </c:cat>
          <c:val>
            <c:numRef>
              <c:f>'Income group pivot Table '!$D$3:$D$6</c:f>
              <c:numCache/>
            </c:numRef>
          </c:val>
        </c:ser>
        <c:ser>
          <c:idx val="1"/>
          <c:order val="1"/>
          <c:tx>
            <c:v>LIMITED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'Income group pivot Table '!$A$3:$A$6</c:f>
            </c:strRef>
          </c:cat>
          <c:val>
            <c:numRef>
              <c:f>'Income group pivot Table '!$E$3:$E$6</c:f>
              <c:numCache/>
            </c:numRef>
          </c:val>
        </c:ser>
        <c:ser>
          <c:idx val="2"/>
          <c:order val="2"/>
          <c:tx>
            <c:v>UNIMPROVED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'Income group pivot Table '!$A$3:$A$6</c:f>
            </c:strRef>
          </c:cat>
          <c:val>
            <c:numRef>
              <c:f>'Income group pivot Table '!$F$3:$F$6</c:f>
              <c:numCache/>
            </c:numRef>
          </c:val>
        </c:ser>
        <c:ser>
          <c:idx val="3"/>
          <c:order val="3"/>
          <c:tx>
            <c:v>SURFACE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'Income group pivot Table '!$A$3:$A$6</c:f>
            </c:strRef>
          </c:cat>
          <c:val>
            <c:numRef>
              <c:f>'Income group pivot Table '!$G$3:$G$6</c:f>
              <c:numCache/>
            </c:numRef>
          </c:val>
        </c:ser>
        <c:axId val="385498064"/>
        <c:axId val="310897811"/>
      </c:barChart>
      <c:catAx>
        <c:axId val="38549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income_group_num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897811"/>
      </c:catAx>
      <c:valAx>
        <c:axId val="310897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498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'Income group pivot Table '!$D$1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'Income group pivot Table '!$A$2:$A$6</c:f>
            </c:strRef>
          </c:cat>
          <c:val>
            <c:numRef>
              <c:f>'Income group pivot Table '!$D$2:$D$6</c:f>
              <c:numCache/>
            </c:numRef>
          </c:val>
        </c:ser>
        <c:ser>
          <c:idx val="1"/>
          <c:order val="1"/>
          <c:tx>
            <c:strRef>
              <c:f>'Income group pivot Table '!$E$1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'Income group pivot Table '!$A$2:$A$6</c:f>
            </c:strRef>
          </c:cat>
          <c:val>
            <c:numRef>
              <c:f>'Income group pivot Table '!$E$2:$E$6</c:f>
              <c:numCache/>
            </c:numRef>
          </c:val>
        </c:ser>
        <c:ser>
          <c:idx val="2"/>
          <c:order val="2"/>
          <c:tx>
            <c:strRef>
              <c:f>'Income group pivot Table '!$F$1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'Income group pivot Table '!$A$2:$A$6</c:f>
            </c:strRef>
          </c:cat>
          <c:val>
            <c:numRef>
              <c:f>'Income group pivot Table '!$F$2:$F$6</c:f>
              <c:numCache/>
            </c:numRef>
          </c:val>
        </c:ser>
        <c:ser>
          <c:idx val="3"/>
          <c:order val="3"/>
          <c:tx>
            <c:strRef>
              <c:f>'Income group pivot Table '!$G$1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'Income group pivot Table '!$A$2:$A$6</c:f>
            </c:strRef>
          </c:cat>
          <c:val>
            <c:numRef>
              <c:f>'Income group pivot Table '!$G$2:$G$6</c:f>
              <c:numCache/>
            </c:numRef>
          </c:val>
        </c:ser>
        <c:axId val="379542107"/>
        <c:axId val="1312241543"/>
      </c:barChart>
      <c:catAx>
        <c:axId val="379542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income_group_num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241543"/>
      </c:catAx>
      <c:valAx>
        <c:axId val="1312241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542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Rural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'Rural pivot Table 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'!$C$2:$C$214</c:f>
              <c:numCache/>
            </c:numRef>
          </c:val>
        </c:ser>
        <c:ser>
          <c:idx val="1"/>
          <c:order val="1"/>
          <c:tx>
            <c:strRef>
              <c:f>'Rural pivot Table '!$D$1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'!$D$2:$D$214</c:f>
              <c:numCache/>
            </c:numRef>
          </c:val>
        </c:ser>
        <c:ser>
          <c:idx val="2"/>
          <c:order val="2"/>
          <c:tx>
            <c:strRef>
              <c:f>'Rural pivot Table '!$E$1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'!$E$2:$E$214</c:f>
              <c:numCache/>
            </c:numRef>
          </c:val>
        </c:ser>
        <c:ser>
          <c:idx val="3"/>
          <c:order val="3"/>
          <c:tx>
            <c:strRef>
              <c:f>'Rural pivot Table '!$F$1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'!$F$2:$F$214</c:f>
              <c:numCache/>
            </c:numRef>
          </c:val>
        </c:ser>
        <c:overlap val="100"/>
        <c:axId val="762973020"/>
        <c:axId val="532223085"/>
      </c:barChart>
      <c:catAx>
        <c:axId val="762973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Rural population share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223085"/>
      </c:catAx>
      <c:valAx>
        <c:axId val="532223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973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Urban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'Urban pivot Table 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'!$C$2:$C$215</c:f>
              <c:numCache/>
            </c:numRef>
          </c:val>
        </c:ser>
        <c:ser>
          <c:idx val="1"/>
          <c:order val="1"/>
          <c:tx>
            <c:strRef>
              <c:f>'Urban pivot Table '!$D$1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'!$D$2:$D$215</c:f>
              <c:numCache/>
            </c:numRef>
          </c:val>
        </c:ser>
        <c:ser>
          <c:idx val="2"/>
          <c:order val="2"/>
          <c:tx>
            <c:strRef>
              <c:f>'Urban pivot Table '!$E$1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'!$E$2:$E$215</c:f>
              <c:numCache/>
            </c:numRef>
          </c:val>
        </c:ser>
        <c:ser>
          <c:idx val="3"/>
          <c:order val="3"/>
          <c:tx>
            <c:strRef>
              <c:f>'Urban pivot Table '!$F$1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'!$F$2:$F$215</c:f>
              <c:numCache/>
            </c:numRef>
          </c:val>
        </c:ser>
        <c:overlap val="100"/>
        <c:axId val="1403885291"/>
        <c:axId val="986411665"/>
      </c:barChart>
      <c:catAx>
        <c:axId val="1403885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Urban population share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411665"/>
      </c:catAx>
      <c:valAx>
        <c:axId val="986411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885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'National pivot Table 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'!$C$2:$C$281</c:f>
              <c:numCache/>
            </c:numRef>
          </c:val>
        </c:ser>
        <c:ser>
          <c:idx val="1"/>
          <c:order val="1"/>
          <c:tx>
            <c:strRef>
              <c:f>'National pivot Table '!$D$1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'!$D$2:$D$281</c:f>
              <c:numCache/>
            </c:numRef>
          </c:val>
        </c:ser>
        <c:ser>
          <c:idx val="2"/>
          <c:order val="2"/>
          <c:tx>
            <c:strRef>
              <c:f>'National pivot Table '!$E$1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'!$E$2:$E$281</c:f>
              <c:numCache/>
            </c:numRef>
          </c:val>
        </c:ser>
        <c:ser>
          <c:idx val="3"/>
          <c:order val="3"/>
          <c:tx>
            <c:strRef>
              <c:f>'National pivot Table '!$F$1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'!$F$2:$F$281</c:f>
              <c:numCache/>
            </c:numRef>
          </c:val>
        </c:ser>
        <c:overlap val="100"/>
        <c:axId val="203880775"/>
        <c:axId val="926288864"/>
      </c:barChart>
      <c:catAx>
        <c:axId val="203880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population size in millions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288864"/>
      </c:catAx>
      <c:valAx>
        <c:axId val="926288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80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population versus urban and rural share 2020</a:t>
            </a:r>
          </a:p>
        </c:rich>
      </c:tx>
      <c:overlay val="0"/>
    </c:title>
    <c:plotArea>
      <c:layout/>
      <c:lineChart>
        <c:ser>
          <c:idx val="0"/>
          <c:order val="0"/>
          <c:tx>
            <c:v>Urban%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'Estimates-on-the-use-of-water-('!$C$2:$C$214</c:f>
            </c:strRef>
          </c:cat>
          <c:val>
            <c:numRef>
              <c:f>'Estimates-on-the-use-of-water-('!$D$2:$D$214</c:f>
              <c:numCache/>
            </c:numRef>
          </c:val>
          <c:smooth val="0"/>
        </c:ser>
        <c:ser>
          <c:idx val="1"/>
          <c:order val="1"/>
          <c:tx>
            <c:v>Rural%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'Estimates-on-the-use-of-water-('!$C$2:$C$214</c:f>
            </c:strRef>
          </c:cat>
          <c:val>
            <c:numRef>
              <c:f>'Estimates-on-the-use-of-water-('!$S$2:$S$214</c:f>
              <c:numCache/>
            </c:numRef>
          </c:val>
          <c:smooth val="0"/>
        </c:ser>
        <c:axId val="1717508564"/>
        <c:axId val="1633210248"/>
      </c:lineChart>
      <c:catAx>
        <c:axId val="1717508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population size in thousands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210248"/>
      </c:catAx>
      <c:valAx>
        <c:axId val="1633210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shares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508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'Estimates-on-the-use-of-water-('!$E$1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'Estimates-on-the-use-of-water-('!$C$2:$C$214</c:f>
            </c:strRef>
          </c:cat>
          <c:val>
            <c:numRef>
              <c:f>'Estimates-on-the-use-of-water-('!$E$2:$E$214</c:f>
              <c:numCache/>
            </c:numRef>
          </c:val>
        </c:ser>
        <c:ser>
          <c:idx val="1"/>
          <c:order val="1"/>
          <c:tx>
            <c:strRef>
              <c:f>'Estimates-on-the-use-of-water-('!$F$1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'Estimates-on-the-use-of-water-('!$C$2:$C$214</c:f>
            </c:strRef>
          </c:cat>
          <c:val>
            <c:numRef>
              <c:f>'Estimates-on-the-use-of-water-('!$F$2:$F$214</c:f>
              <c:numCache/>
            </c:numRef>
          </c:val>
        </c:ser>
        <c:ser>
          <c:idx val="2"/>
          <c:order val="2"/>
          <c:tx>
            <c:strRef>
              <c:f>'Estimates-on-the-use-of-water-('!$G$1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'Estimates-on-the-use-of-water-('!$C$2:$C$214</c:f>
            </c:strRef>
          </c:cat>
          <c:val>
            <c:numRef>
              <c:f>'Estimates-on-the-use-of-water-('!$G$2:$G$214</c:f>
              <c:numCache/>
            </c:numRef>
          </c:val>
        </c:ser>
        <c:ser>
          <c:idx val="3"/>
          <c:order val="3"/>
          <c:tx>
            <c:strRef>
              <c:f>'Estimates-on-the-use-of-water-('!$H$1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'Estimates-on-the-use-of-water-('!$C$2:$C$214</c:f>
            </c:strRef>
          </c:cat>
          <c:val>
            <c:numRef>
              <c:f>'Estimates-on-the-use-of-water-('!$H$2:$H$214</c:f>
              <c:numCache/>
            </c:numRef>
          </c:val>
        </c:ser>
        <c:overlap val="100"/>
        <c:axId val="54574804"/>
        <c:axId val="496469844"/>
      </c:barChart>
      <c:catAx>
        <c:axId val="54574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population size in thousands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469844"/>
      </c:catAx>
      <c:valAx>
        <c:axId val="496469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74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'National pivot Table 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'!$C$2:$C$281</c:f>
              <c:numCache/>
            </c:numRef>
          </c:val>
        </c:ser>
        <c:ser>
          <c:idx val="1"/>
          <c:order val="1"/>
          <c:tx>
            <c:strRef>
              <c:f>'National pivot Table '!$D$1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'!$D$2:$D$281</c:f>
              <c:numCache/>
            </c:numRef>
          </c:val>
        </c:ser>
        <c:ser>
          <c:idx val="2"/>
          <c:order val="2"/>
          <c:tx>
            <c:strRef>
              <c:f>'National pivot Table '!$E$1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'!$E$2:$E$281</c:f>
              <c:numCache/>
            </c:numRef>
          </c:val>
        </c:ser>
        <c:ser>
          <c:idx val="3"/>
          <c:order val="3"/>
          <c:tx>
            <c:strRef>
              <c:f>'National pivot Table '!$F$1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'National pivot Table '!$A$2:$A$281</c:f>
            </c:strRef>
          </c:cat>
          <c:val>
            <c:numRef>
              <c:f>'National pivot Table '!$F$2:$F$281</c:f>
              <c:numCache/>
            </c:numRef>
          </c:val>
        </c:ser>
        <c:overlap val="100"/>
        <c:axId val="898086951"/>
        <c:axId val="1657042948"/>
      </c:barChart>
      <c:catAx>
        <c:axId val="898086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population size in millions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042948"/>
      </c:catAx>
      <c:valAx>
        <c:axId val="1657042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086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Urban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'Urban pivot Table 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'!$C$2:$C$215</c:f>
              <c:numCache/>
            </c:numRef>
          </c:val>
        </c:ser>
        <c:ser>
          <c:idx val="1"/>
          <c:order val="1"/>
          <c:tx>
            <c:strRef>
              <c:f>'Urban pivot Table '!$D$1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'!$D$2:$D$215</c:f>
              <c:numCache/>
            </c:numRef>
          </c:val>
        </c:ser>
        <c:ser>
          <c:idx val="2"/>
          <c:order val="2"/>
          <c:tx>
            <c:strRef>
              <c:f>'Urban pivot Table '!$E$1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'!$E$2:$E$215</c:f>
              <c:numCache/>
            </c:numRef>
          </c:val>
        </c:ser>
        <c:ser>
          <c:idx val="3"/>
          <c:order val="3"/>
          <c:tx>
            <c:strRef>
              <c:f>'Urban pivot Table '!$F$1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'Urban pivot Table '!$A$2:$A$215</c:f>
            </c:strRef>
          </c:cat>
          <c:val>
            <c:numRef>
              <c:f>'Urban pivot Table '!$F$2:$F$215</c:f>
              <c:numCache/>
            </c:numRef>
          </c:val>
        </c:ser>
        <c:overlap val="100"/>
        <c:axId val="821195937"/>
        <c:axId val="483170964"/>
      </c:barChart>
      <c:catAx>
        <c:axId val="821195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Urban population share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170964"/>
      </c:catAx>
      <c:valAx>
        <c:axId val="483170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195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Rural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'Rural pivot Table 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'!$C$2:$C$214</c:f>
              <c:numCache/>
            </c:numRef>
          </c:val>
        </c:ser>
        <c:ser>
          <c:idx val="1"/>
          <c:order val="1"/>
          <c:tx>
            <c:strRef>
              <c:f>'Rural pivot Table '!$D$1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'!$D$2:$D$214</c:f>
              <c:numCache/>
            </c:numRef>
          </c:val>
        </c:ser>
        <c:ser>
          <c:idx val="2"/>
          <c:order val="2"/>
          <c:tx>
            <c:strRef>
              <c:f>'Rural pivot Table '!$E$1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'!$E$2:$E$214</c:f>
              <c:numCache/>
            </c:numRef>
          </c:val>
        </c:ser>
        <c:ser>
          <c:idx val="3"/>
          <c:order val="3"/>
          <c:tx>
            <c:strRef>
              <c:f>'Rural pivot Table '!$F$1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'Rural pivot Table '!$A$2:$A$214</c:f>
            </c:strRef>
          </c:cat>
          <c:val>
            <c:numRef>
              <c:f>'Rural pivot Table '!$F$2:$F$214</c:f>
              <c:numCache/>
            </c:numRef>
          </c:val>
        </c:ser>
        <c:overlap val="100"/>
        <c:axId val="228106331"/>
        <c:axId val="2078515879"/>
      </c:barChart>
      <c:catAx>
        <c:axId val="228106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Rural population share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515879"/>
      </c:catAx>
      <c:valAx>
        <c:axId val="2078515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percentages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106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Chart11.png"/><Relationship Id="rId3" Type="http://schemas.openxmlformats.org/officeDocument/2006/relationships/image" Target="../media/Chart12.png"/><Relationship Id="rId4" Type="http://schemas.openxmlformats.org/officeDocument/2006/relationships/image" Target="../media/Chart13.png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28575</xdr:rowOff>
    </xdr:from>
    <xdr:ext cx="57721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6</xdr:row>
      <xdr:rowOff>114300</xdr:rowOff>
    </xdr:from>
    <xdr:ext cx="4610100" cy="240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38100</xdr:colOff>
      <xdr:row>18</xdr:row>
      <xdr:rowOff>85725</xdr:rowOff>
    </xdr:from>
    <xdr:ext cx="4610100" cy="2562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1304925</xdr:colOff>
      <xdr:row>6</xdr:row>
      <xdr:rowOff>114300</xdr:rowOff>
    </xdr:from>
    <xdr:ext cx="3895725" cy="2409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1304925</xdr:colOff>
      <xdr:row>18</xdr:row>
      <xdr:rowOff>85725</xdr:rowOff>
    </xdr:from>
    <xdr:ext cx="3895725" cy="2562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695325</xdr:colOff>
      <xdr:row>6</xdr:row>
      <xdr:rowOff>114300</xdr:rowOff>
    </xdr:from>
    <xdr:ext cx="5019675" cy="4972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3</xdr:row>
      <xdr:rowOff>200025</xdr:rowOff>
    </xdr:from>
    <xdr:ext cx="9144000" cy="4467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657225</xdr:colOff>
      <xdr:row>4</xdr:row>
      <xdr:rowOff>57150</xdr:rowOff>
    </xdr:from>
    <xdr:ext cx="11334750" cy="43624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561975</xdr:colOff>
      <xdr:row>6</xdr:row>
      <xdr:rowOff>190500</xdr:rowOff>
    </xdr:from>
    <xdr:ext cx="13201650" cy="48387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38100</xdr:colOff>
      <xdr:row>0</xdr:row>
      <xdr:rowOff>0</xdr:rowOff>
    </xdr:from>
    <xdr:ext cx="8534400" cy="3914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38100</xdr:colOff>
      <xdr:row>19</xdr:row>
      <xdr:rowOff>47625</xdr:rowOff>
    </xdr:from>
    <xdr:ext cx="8534400" cy="3609975"/>
    <xdr:pic>
      <xdr:nvPicPr>
        <xdr:cNvPr id="2088287870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36</xdr:row>
      <xdr:rowOff>200025</xdr:rowOff>
    </xdr:from>
    <xdr:ext cx="8534400" cy="3476625"/>
    <xdr:pic>
      <xdr:nvPicPr>
        <xdr:cNvPr id="300559802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54</xdr:row>
      <xdr:rowOff>19050</xdr:rowOff>
    </xdr:from>
    <xdr:ext cx="8534400" cy="3562350"/>
    <xdr:pic>
      <xdr:nvPicPr>
        <xdr:cNvPr id="161218961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95250</xdr:rowOff>
    </xdr:from>
    <xdr:ext cx="6905625" cy="48196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933450</xdr:colOff>
      <xdr:row>28</xdr:row>
      <xdr:rowOff>95250</xdr:rowOff>
    </xdr:from>
    <xdr:ext cx="7372350" cy="3914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933450</xdr:colOff>
      <xdr:row>47</xdr:row>
      <xdr:rowOff>152400</xdr:rowOff>
    </xdr:from>
    <xdr:ext cx="7372350" cy="44672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933450</xdr:colOff>
      <xdr:row>69</xdr:row>
      <xdr:rowOff>152400</xdr:rowOff>
    </xdr:from>
    <xdr:ext cx="7372350" cy="42672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14" sheet="Estimates-on-the-use-of-water-(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  <cacheField name="pop_n (k)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%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2.7527026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5.22113688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3.14294909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18.88321135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86.9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78.41163766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07927743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5.708056353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5.485735437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9.83580681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2.023349475"/>
        <n v="0.8727514049"/>
        <n v="6.362160532"/>
        <n v="2.007293339"/>
        <n v="0.06171"/>
        <n v="0.3882429922"/>
        <n v="0.02419708411"/>
        <n v="0.2260230112"/>
        <n v="1.198136794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pop_n_actual" numFmtId="0">
      <sharedItems containsSemiMixedTypes="0" containsString="0" containsNumber="1" containsInteger="1">
        <n v="1350.0"/>
        <n v="1618.0"/>
        <n v="3483.0"/>
        <n v="4999.0"/>
        <n v="5795.0"/>
        <n v="6071.0"/>
        <n v="9885.0"/>
        <n v="10834.0"/>
        <n v="11246.0"/>
        <n v="11792.0"/>
        <n v="17564.0"/>
        <n v="18092.0"/>
        <n v="30237.0"/>
        <n v="33691.0"/>
        <n v="33938.0"/>
        <n v="38137.0"/>
        <n v="38659.0"/>
        <n v="39244.0"/>
        <n v="48865.0"/>
        <n v="55197.0"/>
        <n v="56772.0"/>
        <n v="57557.0"/>
        <n v="59194.0"/>
        <n v="62273.0"/>
        <n v="77265.0"/>
        <n v="85032.0"/>
        <n v="104423.0"/>
        <n v="105697.0"/>
        <n v="119446.0"/>
        <n v="168783.0"/>
        <n v="183629.0"/>
        <n v="198410.0"/>
        <n v="219161.0"/>
        <n v="272813.0"/>
        <n v="280904.0"/>
        <n v="285491.0"/>
        <n v="287371.0"/>
        <n v="298682.0"/>
        <n v="307150.0"/>
        <n v="341250.0"/>
        <n v="375265.0"/>
        <n v="397621.0"/>
        <n v="400127.0"/>
        <n v="437483.0"/>
        <n v="441539.0"/>
        <n v="540542.0"/>
        <n v="555988.0"/>
        <n v="586634.0"/>
        <n v="625976.0"/>
        <n v="628062.0"/>
        <n v="649342.0"/>
        <n v="686878.0"/>
        <n v="771612.0"/>
        <n v="786559.0"/>
        <n v="895308.0"/>
        <n v="896444.0"/>
        <n v="988002.0"/>
        <n v="1160164.0"/>
        <n v="1207361.0"/>
        <n v="1271767.0"/>
        <n v="1318442.0"/>
        <n v="1326539.0"/>
        <n v="1399491.0"/>
        <n v="1701583.0"/>
        <n v="1886202.0"/>
        <n v="1967998.0"/>
        <n v="2078932.0"/>
        <n v="2083380.0"/>
        <n v="2142252.0"/>
        <n v="2225728.0"/>
        <n v="2351625.0"/>
        <n v="2416664.0"/>
        <n v="2540916.0"/>
        <n v="2722291.0"/>
        <n v="2860840.0"/>
        <n v="2877800.0"/>
        <n v="2881060.0"/>
        <n v="2961161.0"/>
        <n v="2963234.0"/>
        <n v="3278292.0"/>
        <n v="3280815.0"/>
        <n v="3473727.0"/>
        <n v="3989175.0"/>
        <n v="4033963.0"/>
        <n v="4105268.0"/>
        <n v="4270563.0"/>
        <n v="4314768.0"/>
        <n v="4649660.0"/>
        <n v="4822233.0"/>
        <n v="4829764.0"/>
        <n v="4937796.0"/>
        <n v="5057677.0"/>
        <n v="5094114.0"/>
        <n v="5101416.0"/>
        <n v="5106622.0"/>
        <n v="5421242.0"/>
        <n v="5459643.0"/>
        <n v="5518092.0"/>
        <n v="5540718.0"/>
        <n v="5792203.0"/>
        <n v="5850343.0"/>
        <n v="6031187.0"/>
        <n v="6486201.0"/>
        <n v="6524191.0"/>
        <n v="6624554.0"/>
        <n v="6825442.0"/>
        <n v="6871287.0"/>
        <n v="6948445.0"/>
        <n v="7132530.0"/>
        <n v="7275556.0"/>
        <n v="7496988.0"/>
        <n v="7976985.0"/>
        <n v="8278737.0"/>
        <n v="8654618.0"/>
        <n v="8655541.0"/>
        <n v="8737370.0"/>
        <n v="8947027.0"/>
        <n v="9006400.0"/>
        <n v="9449321.0"/>
        <n v="9537642.0"/>
        <n v="9660350.0"/>
        <n v="9890400.0"/>
        <n v="9904608.0"/>
        <n v="1.009927E7"/>
        <n v="1.0139175E7"/>
        <n v="1.0196707E7"/>
        <n v="1.020314E7"/>
        <n v="1.0423056E7"/>
        <n v="1.0708982E7"/>
        <n v="1.0847904E7"/>
        <n v="1.1193729E7"/>
        <n v="1.1326616E7"/>
        <n v="1.1402533E7"/>
        <n v="1.1589616E7"/>
        <n v="1.1673029E7"/>
        <n v="1.1818618E7"/>
        <n v="1.1890781E7"/>
        <n v="1.2123198E7"/>
        <n v="1.2952209E7"/>
        <n v="1.3132792E7"/>
        <n v="1.4862927E7"/>
        <n v="1.5893219E7"/>
        <n v="1.6425859E7"/>
        <n v="1.6718971E7"/>
        <n v="1.674393E7"/>
        <n v="1.7134873E7"/>
        <n v="1.7500656E7"/>
        <n v="1.7643061E7"/>
        <n v="1.7915566E7"/>
        <n v="1.8383955E7"/>
        <n v="1.8776707E7"/>
        <n v="1.9116209E7"/>
        <n v="1.9129955E7"/>
        <n v="1.9237682E7"/>
        <n v="2.0250834E7"/>
        <n v="2.0903277E7"/>
        <n v="2.141325E7"/>
        <n v="2.4206637E7"/>
        <n v="2.5499881E7"/>
        <n v="2.5778814E7"/>
        <n v="2.6378275E7"/>
        <n v="2.6545863E7"/>
        <n v="2.769102E7"/>
        <n v="2.8435943E7"/>
        <n v="2.9136809E7"/>
        <n v="2.9825969E7"/>
        <n v="3.1072945E7"/>
        <n v="3.1255436E7"/>
        <n v="3.2365998E7"/>
        <n v="3.286627E7"/>
        <n v="3.2971848E7"/>
        <n v="3.3469199E7"/>
        <n v="3.4813867E7"/>
        <n v="3.6910559E7"/>
        <n v="3.7742156E7"/>
        <n v="3.7846605E7"/>
        <n v="3.892834E7"/>
        <n v="4.0222504E7"/>
        <n v="4.3733758E7"/>
        <n v="4.384927E7"/>
        <n v="4.3851043E7"/>
        <n v="4.5195777E7"/>
        <n v="4.5741E7"/>
        <n v="4.6754781E7"/>
        <n v="5.0882883E7"/>
        <n v="5.1269184E7"/>
        <n v="5.3771301E7"/>
        <n v="5.4409793E7"/>
        <n v="5.9308691E7"/>
        <n v="5.9734215E7"/>
        <n v="6.0461828E7"/>
        <n v="6.5273512E7"/>
        <n v="6.7886008E7"/>
        <n v="6.9799977E7"/>
        <n v="8.3783945E7"/>
        <n v="8.3992953E7"/>
        <n v="8.433907E7"/>
        <n v="8.9561406E7"/>
        <n v="9.7338586E7"/>
        <n v="1.02334406E8"/>
        <n v="1.09581086E8"/>
        <n v="1.14963586E8"/>
        <n v="1.26476461E8"/>
        <n v="1.2893275E8"/>
        <n v="1.45934453E8"/>
        <n v="1.64689391E8"/>
        <n v="2.06139594E8"/>
        <n v="2.12559406E8"/>
        <n v="2.20892328E8"/>
        <n v="2.73523625E8"/>
        <n v="3.31002656E8"/>
        <n v="1.380004375E9"/>
        <n v="1.4631405E9"/>
      </sharedItems>
    </cacheField>
    <cacheField name="pop_u_val" numFmtId="0">
      <sharedItems containsSemiMixedTypes="0" containsString="0" containsNumber="1" containsInteger="1">
        <n v="0.0"/>
        <n v="748.0"/>
        <n v="2734.0"/>
        <n v="456.0"/>
        <n v="5213.0"/>
        <n v="2433.0"/>
        <n v="9885.0"/>
        <n v="10834.0"/>
        <n v="7549.0"/>
        <n v="13260.0"/>
        <n v="14652.0"/>
        <n v="14669.0"/>
        <n v="33691.0"/>
        <n v="33089.0"/>
        <n v="5498.0"/>
        <n v="38659.0"/>
        <n v="39244.0"/>
        <n v="20718.0"/>
        <n v="48106.0"/>
        <n v="49552.0"/>
        <n v="52836.0"/>
        <n v="46049.0"/>
        <n v="62273.0"/>
        <n v="67928.0"/>
        <n v="44980.0"/>
        <n v="100182.0"/>
        <n v="24415.0"/>
        <n v="66405.0"/>
        <n v="160239.0"/>
        <n v="34598.0"/>
        <n v="35494.0"/>
        <n v="162955.0"/>
        <n v="124815.0"/>
        <n v="174090.0"/>
        <n v="204177.0"/>
        <n v="89634.0"/>
        <n v="256329.0"/>
        <n v="78400.0"/>
        <n v="320427.0"/>
        <n v="334511.0"/>
        <n v="183005.0"/>
        <n v="394121.0"/>
        <n v="342330.0"/>
        <n v="418332.0"/>
        <n v="219833.0"/>
        <n v="370577.0"/>
        <n v="388053.0"/>
        <n v="572474.0"/>
        <n v="423867.0"/>
        <n v="649342.0"/>
        <n v="169453.0"/>
        <n v="326515.0"/>
        <n v="210688.0"/>
        <n v="892255.0"/>
        <n v="513187.0"/>
        <n v="771254.0"/>
        <n v="280423.0"/>
        <n v="806771.0"/>
        <n v="518372.0"/>
        <n v="412936.0"/>
        <n v="918350.0"/>
        <n v="744725.0"/>
        <n v="1523019.0"/>
        <n v="1288559.0"/>
        <n v="869776.0"/>
        <n v="1145866.0"/>
        <n v="1218402.0"/>
        <n v="621853.0"/>
        <n v="2005203.0"/>
        <n v="1666761.0"/>
        <n v="1512397.0"/>
        <n v="1322115.0"/>
        <n v="1852410.0"/>
        <n v="2677203.0"/>
        <n v="1787459.0"/>
        <n v="2859020.0"/>
        <n v="1667459.0"/>
        <n v="1876112.0"/>
        <n v="2250777.0"/>
        <n v="1608256.0"/>
        <n v="3317930.0"/>
        <n v="2371684.0"/>
        <n v="1728513.0"/>
        <n v="2362705.0"/>
        <n v="4270563.0"/>
        <n v="2951905.0"/>
        <n v="2572517.0"/>
        <n v="4180828.0"/>
        <n v="2038064.0"/>
        <n v="3143055.0"/>
        <n v="2634493.0"/>
        <n v="4114567.0"/>
        <n v="3913755.0"/>
        <n v="4405789.0"/>
        <n v="4498221.0"/>
        <n v="2935104.0"/>
        <n v="3742867.0"/>
        <n v="4738256.0"/>
        <n v="5103858.0"/>
        <n v="5850343.0"/>
        <n v="3167338.0"/>
        <n v="4763725.0"/>
        <n v="2404556.0"/>
        <n v="3909282.0"/>
        <n v="6069524.0"/>
        <n v="5544510.0"/>
        <n v="5259000.0"/>
        <n v="4435221.0"/>
        <n v="2640299.0"/>
        <n v="7496988.0"/>
        <n v="3423961.0"/>
        <n v="3543299.0"/>
        <n v="6397061.0"/>
        <n v="8013906.0"/>
        <n v="4931896.0"/>
        <n v="1193981.0"/>
        <n v="5291080.0"/>
        <n v="7510604.0"/>
        <n v="2623424.0"/>
        <n v="6949849.0"/>
        <n v="8609395.0"/>
        <n v="5780230.0"/>
        <n v="8885035.0"/>
        <n v="5718191.0"/>
        <n v="6761436.0"/>
        <n v="9327506.0"/>
        <n v="8308740.0"/>
        <n v="7931180.0"/>
        <n v="8953860.0"/>
        <n v="2261021.0"/>
        <n v="8743468.0"/>
        <n v="6509478.0"/>
        <n v="1.1366979E7"/>
        <n v="8185478.0"/>
        <n v="8221976.0"/>
        <n v="1629988.0"/>
        <n v="5869446.0"/>
        <n v="2257829.0"/>
        <n v="4842717.0"/>
        <n v="4792105.0"/>
        <n v="7333290.0"/>
        <n v="3863362.0"/>
        <n v="4051341.0"/>
        <n v="8057514.0"/>
        <n v="1.5804521E7"/>
        <n v="9708489.0"/>
        <n v="1.1320847E7"/>
        <n v="9286713.0"/>
        <n v="8204575.0"/>
        <n v="1.0828715E7"/>
        <n v="1.6770076E7"/>
        <n v="3333777.0"/>
        <n v="1.0425669E7"/>
        <n v="8891940.0"/>
        <n v="6397866.0"/>
        <n v="4007061.0"/>
        <n v="4024595.0"/>
        <n v="2.1991352E7"/>
        <n v="1.6081082E7"/>
        <n v="1.363915E7"/>
        <n v="1.52798E7"/>
        <n v="1.0670458E7"/>
        <n v="2.5102966E7"/>
        <n v="5995190.0"/>
        <n v="1.1306427E7"/>
        <n v="1.7820023E7"/>
        <n v="1.158764E7"/>
        <n v="2.4973603E7"/>
        <n v="2.1962884E7"/>
        <n v="2.5815969E7"/>
        <n v="1.687383E7"/>
        <n v="2.9343565E7"/>
        <n v="2.3450015E7"/>
        <n v="3.0783259E7"/>
        <n v="2.2724238E7"/>
        <n v="1.0131489E7"/>
        <n v="2.8514939E7"/>
        <n v="3.0442195E7"/>
        <n v="1.5458182E7"/>
        <n v="3.233269E7"/>
        <n v="4.1630282E7"/>
        <n v="1.1414209E7"/>
        <n v="3.7782537E7"/>
        <n v="4.1431385E7"/>
        <n v="4.1740294E7"/>
        <n v="1.5053275E7"/>
        <n v="1.6943754E7"/>
        <n v="3.9946778E7"/>
        <n v="2.1042573E7"/>
        <n v="4.2951474E7"/>
        <n v="5.2855225E7"/>
        <n v="5.6958397E7"/>
        <n v="3.5898128E7"/>
        <n v="6.4893181E7"/>
        <n v="6.3728814E7"/>
        <n v="6.4186252E7"/>
        <n v="4.0874035E7"/>
        <n v="3.6346228E7"/>
        <n v="4.378173E7"/>
        <n v="5.1950198E7"/>
        <n v="2.494135E7"/>
        <n v="1.16082623E8"/>
        <n v="1.04088692E8"/>
        <n v="1.09091849E8"/>
        <n v="6.2873472E7"/>
        <n v="1.07106011E8"/>
        <n v="1.85081847E8"/>
        <n v="8.2094636E7"/>
        <n v="1.54926513E8"/>
        <n v="2.7362004E8"/>
        <n v="4.81980363E8"/>
        <n v="9.02949199E8"/>
      </sharedItems>
    </cacheField>
    <cacheField name="pop_r%" numFmtId="0">
      <sharedItems containsSemiMixedTypes="0" containsString="0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n (m)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</sharedItems>
    </cacheField>
    <cacheField name=" wat_bas_n (rounded)">
      <sharedItems containsMixedTypes="1" containsNumber="1">
        <n v="99.70768"/>
        <n v="97.01088"/>
        <n v="95.30893"/>
        <n v="98.07748"/>
        <n v="91.4"/>
        <n v="99.1"/>
        <n v="100.0"/>
        <n v="99.14329"/>
        <n v="99.97161"/>
        <n v="99.65755"/>
        <n v="99.86438"/>
        <n v="99.99927"/>
        <n v="99.77377"/>
        <n v="88.57205"/>
        <n v="99.90314"/>
        <n v="99.075"/>
        <n v="98.71827"/>
        <n v="98.73108"/>
        <n v="77.97092"/>
        <n v="99.6952"/>
        <n v="96.88784"/>
        <n v="91.83772"/>
        <n v="78.22646"/>
        <n v="96.37118"/>
        <n v="99.30532"/>
        <n v="98.51445"/>
        <n v="93.78222"/>
        <n v="91.23119"/>
        <n v="99.84197"/>
        <n v="98.40195"/>
        <n v="99.80313"/>
        <n v="99.90004"/>
        <n v="99.54444"/>
        <n v="88.76961"/>
        <n v="97.98963"/>
        <n v="99.87993"/>
        <n v="98.85692"/>
        <n v="67.30103"/>
        <n v="97.31322"/>
        <n v="95.55481"/>
        <n v="94.30107"/>
        <n v="76.04992"/>
        <n v="70.75307"/>
        <n v="99.76517"/>
        <n v="99.86625"/>
        <n v="85.4956"/>
        <n v="99.59078"/>
        <n v="98.87517"/>
        <n v="98.7826"/>
        <n v="59.01691"/>
        <n v="99.5"/>
        <n v="97.74282"/>
        <n v="72.17604"/>
        <n v="85.34193"/>
        <n v="92.21356"/>
        <n v="80.94041"/>
        <n v="84.27004"/>
        <n v="98.01335"/>
        <n v="95.06804"/>
        <n v="99.5681"/>
        <n v="91.02994"/>
        <n v="99.97118"/>
        <n v="85.49563"/>
        <n v="96.1139"/>
        <n v="99.49576"/>
        <n v="97.34814"/>
        <n v="90.56996"/>
        <s v="NAN"/>
        <n v="94.37254"/>
        <n v="71.68105"/>
        <n v="37.2024"/>
        <n v="97.39971"/>
        <n v="75.26179"/>
        <n v="99.81054"/>
        <n v="97.8804"/>
        <n v="92.16802"/>
        <n v="99.7877"/>
        <n v="73.78451"/>
        <n v="97.94658"/>
        <n v="91.69931"/>
        <n v="81.70875"/>
        <n v="92.6"/>
        <n v="99.89152"/>
        <n v="99.01142"/>
        <n v="99.59347"/>
        <n v="85.21974"/>
        <n v="63.76629"/>
        <n v="68.58372"/>
        <n v="95.29553"/>
        <n v="45.34402"/>
        <n v="96.53473"/>
        <n v="81.85242"/>
        <n v="99.9656"/>
        <n v="95.68922"/>
        <n v="99.82687"/>
        <n v="96.04338"/>
        <n v="99.91199"/>
        <n v="98.9403"/>
        <n v="99.88059"/>
        <n v="96.68681"/>
        <n v="40.95093"/>
        <n v="97.0027"/>
        <n v="66.69531"/>
        <n v="93.39007"/>
        <n v="97.54331"/>
        <n v="62.20712"/>
        <n v="65.41412"/>
        <n v="60.4145"/>
        <n v="63.96179"/>
        <n v="62.66646"/>
        <n v="56.47697"/>
        <n v="46.18753"/>
        <n v="71.21988"/>
        <n v="84.90524"/>
        <n v="93.92586"/>
        <n v="95.35976"/>
        <n v="94.00643"/>
        <n v="65.41238"/>
        <n v="95.43497"/>
        <n v="70.04773"/>
        <n v="82.54729"/>
        <n v="47.21485"/>
        <n v="92.22758"/>
        <n v="46.9118"/>
        <n v="99.96981"/>
        <n v="93.84384"/>
        <n v="70.90907"/>
        <n v="65.72042"/>
        <n v="53.38588"/>
        <n v="93.6858"/>
        <n v="90.07454"/>
        <n v="60.66357"/>
        <n v="85.791"/>
        <n v="63.36943"/>
        <n v="97.09991"/>
        <n v="57.16774"/>
        <n v="93.13937"/>
        <n v="97.82878"/>
        <n v="90.40234"/>
        <n v="99.22181"/>
        <n v="99.96659"/>
        <n v="75.09141"/>
        <n v="98.3599"/>
        <n v="93.92828"/>
        <n v="60.44868"/>
        <n v="94.43733"/>
        <n v="55.85505"/>
        <n v="99.92561"/>
        <n v="97.49166"/>
        <n v="99.9314"/>
        <n v="61.63289"/>
        <n v="83.71819"/>
        <n v="93.88506"/>
        <n v="60.7168"/>
        <n v="99.91703"/>
        <n v="97.48264"/>
        <n v="97.01427"/>
        <n v="45.95213"/>
        <n v="96.88436"/>
        <n v="99.44018"/>
        <n v="94.10903"/>
        <n v="49.61557"/>
        <n v="99.07891"/>
        <n v="99.67957"/>
        <n v="96.99255"/>
        <n v="97.69796"/>
        <n v="77.60905"/>
        <n v="99.32085"/>
        <n v="90.14897"/>
        <n v="92.41535"/>
        <n v="99.88353"/>
        <n v="90.48953"/>
        <n v="94.26111"/>
      </sharedItems>
    </cacheField>
    <cacheField name="pop_u (rounded)%" numFmtId="0">
      <sharedItems containsSemiMixedTypes="0" containsString="0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78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89.0"/>
        <n v="98.0"/>
        <n v="41.0"/>
        <n v="67.0"/>
        <n v="66.0"/>
        <n v="91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</sharedItems>
    </cacheField>
    <cacheField name="pop_r (rounded)%" numFmtId="0">
      <sharedItems containsSemiMixedTypes="0" containsString="0" containsNumber="1" containsInteger="1"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22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11.0"/>
        <n v="2.0"/>
        <n v="59.0"/>
        <n v="33.0"/>
        <n v="34.0"/>
        <n v="9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</sharedItems>
    </cacheField>
    <cacheField name="income_group_num" numFmtId="0">
      <sharedItems containsSemiMixedTypes="0" containsString="0" containsNumber="1" containsInteger="1">
        <n v="0.0"/>
        <n v="4.0"/>
        <n v="3.0"/>
        <n v="2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214" sheet="Estimates-on-the-use-of-water-(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  <cacheField name="pop_n (k)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%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2.7527026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5.22113688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3.14294909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18.88321135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86.9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78.41163766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07927743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5.708056353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5.485735437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9.83580681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2.023349475"/>
        <n v="0.8727514049"/>
        <n v="6.362160532"/>
        <n v="2.007293339"/>
        <n v="0.06171"/>
        <n v="0.3882429922"/>
        <n v="0.02419708411"/>
        <n v="0.2260230112"/>
        <n v="1.198136794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pop_n_actual" numFmtId="0">
      <sharedItems containsSemiMixedTypes="0" containsString="0" containsNumber="1" containsInteger="1">
        <n v="1350.0"/>
        <n v="1618.0"/>
        <n v="3483.0"/>
        <n v="4999.0"/>
        <n v="5795.0"/>
        <n v="6071.0"/>
        <n v="9885.0"/>
        <n v="10834.0"/>
        <n v="11246.0"/>
        <n v="11792.0"/>
        <n v="17564.0"/>
        <n v="18092.0"/>
        <n v="30237.0"/>
        <n v="33691.0"/>
        <n v="33938.0"/>
        <n v="38137.0"/>
        <n v="38659.0"/>
        <n v="39244.0"/>
        <n v="48865.0"/>
        <n v="55197.0"/>
        <n v="56772.0"/>
        <n v="57557.0"/>
        <n v="59194.0"/>
        <n v="62273.0"/>
        <n v="77265.0"/>
        <n v="85032.0"/>
        <n v="104423.0"/>
        <n v="105697.0"/>
        <n v="119446.0"/>
        <n v="168783.0"/>
        <n v="183629.0"/>
        <n v="198410.0"/>
        <n v="219161.0"/>
        <n v="272813.0"/>
        <n v="280904.0"/>
        <n v="285491.0"/>
        <n v="287371.0"/>
        <n v="298682.0"/>
        <n v="307150.0"/>
        <n v="341250.0"/>
        <n v="375265.0"/>
        <n v="397621.0"/>
        <n v="400127.0"/>
        <n v="437483.0"/>
        <n v="441539.0"/>
        <n v="540542.0"/>
        <n v="555988.0"/>
        <n v="586634.0"/>
        <n v="625976.0"/>
        <n v="628062.0"/>
        <n v="649342.0"/>
        <n v="686878.0"/>
        <n v="771612.0"/>
        <n v="786559.0"/>
        <n v="895308.0"/>
        <n v="896444.0"/>
        <n v="988002.0"/>
        <n v="1160164.0"/>
        <n v="1207361.0"/>
        <n v="1271767.0"/>
        <n v="1318442.0"/>
        <n v="1326539.0"/>
        <n v="1399491.0"/>
        <n v="1701583.0"/>
        <n v="1886202.0"/>
        <n v="1967998.0"/>
        <n v="2078932.0"/>
        <n v="2083380.0"/>
        <n v="2142252.0"/>
        <n v="2225728.0"/>
        <n v="2351625.0"/>
        <n v="2416664.0"/>
        <n v="2540916.0"/>
        <n v="2722291.0"/>
        <n v="2860840.0"/>
        <n v="2877800.0"/>
        <n v="2881060.0"/>
        <n v="2961161.0"/>
        <n v="2963234.0"/>
        <n v="3278292.0"/>
        <n v="3280815.0"/>
        <n v="3473727.0"/>
        <n v="3989175.0"/>
        <n v="4033963.0"/>
        <n v="4105268.0"/>
        <n v="4270563.0"/>
        <n v="4314768.0"/>
        <n v="4649660.0"/>
        <n v="4822233.0"/>
        <n v="4829764.0"/>
        <n v="4937796.0"/>
        <n v="5057677.0"/>
        <n v="5094114.0"/>
        <n v="5101416.0"/>
        <n v="5106622.0"/>
        <n v="5421242.0"/>
        <n v="5459643.0"/>
        <n v="5518092.0"/>
        <n v="5540718.0"/>
        <n v="5792203.0"/>
        <n v="5850343.0"/>
        <n v="6031187.0"/>
        <n v="6486201.0"/>
        <n v="6524191.0"/>
        <n v="6624554.0"/>
        <n v="6825442.0"/>
        <n v="6871287.0"/>
        <n v="6948445.0"/>
        <n v="7132530.0"/>
        <n v="7275556.0"/>
        <n v="7496988.0"/>
        <n v="7976985.0"/>
        <n v="8278737.0"/>
        <n v="8654618.0"/>
        <n v="8655541.0"/>
        <n v="8737370.0"/>
        <n v="8947027.0"/>
        <n v="9006400.0"/>
        <n v="9449321.0"/>
        <n v="9537642.0"/>
        <n v="9660350.0"/>
        <n v="9890400.0"/>
        <n v="9904608.0"/>
        <n v="1.009927E7"/>
        <n v="1.0139175E7"/>
        <n v="1.0196707E7"/>
        <n v="1.020314E7"/>
        <n v="1.0423056E7"/>
        <n v="1.0708982E7"/>
        <n v="1.0847904E7"/>
        <n v="1.1193729E7"/>
        <n v="1.1326616E7"/>
        <n v="1.1402533E7"/>
        <n v="1.1589616E7"/>
        <n v="1.1673029E7"/>
        <n v="1.1818618E7"/>
        <n v="1.1890781E7"/>
        <n v="1.2123198E7"/>
        <n v="1.2952209E7"/>
        <n v="1.3132792E7"/>
        <n v="1.4862927E7"/>
        <n v="1.5893219E7"/>
        <n v="1.6425859E7"/>
        <n v="1.6718971E7"/>
        <n v="1.674393E7"/>
        <n v="1.7134873E7"/>
        <n v="1.7500656E7"/>
        <n v="1.7643061E7"/>
        <n v="1.7915566E7"/>
        <n v="1.8383955E7"/>
        <n v="1.8776707E7"/>
        <n v="1.9116209E7"/>
        <n v="1.9129955E7"/>
        <n v="1.9237682E7"/>
        <n v="2.0250834E7"/>
        <n v="2.0903277E7"/>
        <n v="2.141325E7"/>
        <n v="2.4206637E7"/>
        <n v="2.5499881E7"/>
        <n v="2.5778814E7"/>
        <n v="2.6378275E7"/>
        <n v="2.6545863E7"/>
        <n v="2.769102E7"/>
        <n v="2.8435943E7"/>
        <n v="2.9136809E7"/>
        <n v="2.9825969E7"/>
        <n v="3.1072945E7"/>
        <n v="3.1255436E7"/>
        <n v="3.2365998E7"/>
        <n v="3.286627E7"/>
        <n v="3.2971848E7"/>
        <n v="3.3469199E7"/>
        <n v="3.4813867E7"/>
        <n v="3.6910559E7"/>
        <n v="3.7742156E7"/>
        <n v="3.7846605E7"/>
        <n v="3.892834E7"/>
        <n v="4.0222504E7"/>
        <n v="4.3733758E7"/>
        <n v="4.384927E7"/>
        <n v="4.3851043E7"/>
        <n v="4.5195777E7"/>
        <n v="4.5741E7"/>
        <n v="4.6754781E7"/>
        <n v="5.0882883E7"/>
        <n v="5.1269184E7"/>
        <n v="5.3771301E7"/>
        <n v="5.4409793E7"/>
        <n v="5.9308691E7"/>
        <n v="5.9734215E7"/>
        <n v="6.0461828E7"/>
        <n v="6.5273512E7"/>
        <n v="6.7886008E7"/>
        <n v="6.9799977E7"/>
        <n v="8.3783945E7"/>
        <n v="8.3992953E7"/>
        <n v="8.433907E7"/>
        <n v="8.9561406E7"/>
        <n v="9.7338586E7"/>
        <n v="1.02334406E8"/>
        <n v="1.09581086E8"/>
        <n v="1.14963586E8"/>
        <n v="1.26476461E8"/>
        <n v="1.2893275E8"/>
        <n v="1.45934453E8"/>
        <n v="1.64689391E8"/>
        <n v="2.06139594E8"/>
        <n v="2.12559406E8"/>
        <n v="2.20892328E8"/>
        <n v="2.73523625E8"/>
        <n v="3.31002656E8"/>
        <n v="1.380004375E9"/>
        <n v="1.4631405E9"/>
      </sharedItems>
    </cacheField>
    <cacheField name="pop_u_val" numFmtId="0">
      <sharedItems containsSemiMixedTypes="0" containsString="0" containsNumber="1" containsInteger="1">
        <n v="0.0"/>
        <n v="748.0"/>
        <n v="2734.0"/>
        <n v="456.0"/>
        <n v="5213.0"/>
        <n v="2433.0"/>
        <n v="9885.0"/>
        <n v="10834.0"/>
        <n v="7549.0"/>
        <n v="13260.0"/>
        <n v="14652.0"/>
        <n v="14669.0"/>
        <n v="33691.0"/>
        <n v="33089.0"/>
        <n v="5498.0"/>
        <n v="38659.0"/>
        <n v="39244.0"/>
        <n v="20718.0"/>
        <n v="48106.0"/>
        <n v="49552.0"/>
        <n v="52836.0"/>
        <n v="46049.0"/>
        <n v="62273.0"/>
        <n v="67928.0"/>
        <n v="44980.0"/>
        <n v="100182.0"/>
        <n v="24415.0"/>
        <n v="66405.0"/>
        <n v="160239.0"/>
        <n v="34598.0"/>
        <n v="35494.0"/>
        <n v="162955.0"/>
        <n v="124815.0"/>
        <n v="174090.0"/>
        <n v="204177.0"/>
        <n v="89634.0"/>
        <n v="256329.0"/>
        <n v="78400.0"/>
        <n v="320427.0"/>
        <n v="334511.0"/>
        <n v="183005.0"/>
        <n v="394121.0"/>
        <n v="342330.0"/>
        <n v="418332.0"/>
        <n v="219833.0"/>
        <n v="370577.0"/>
        <n v="388053.0"/>
        <n v="572474.0"/>
        <n v="423867.0"/>
        <n v="649342.0"/>
        <n v="169453.0"/>
        <n v="326515.0"/>
        <n v="210688.0"/>
        <n v="892255.0"/>
        <n v="513187.0"/>
        <n v="771254.0"/>
        <n v="280423.0"/>
        <n v="806771.0"/>
        <n v="518372.0"/>
        <n v="412936.0"/>
        <n v="918350.0"/>
        <n v="744725.0"/>
        <n v="1523019.0"/>
        <n v="1288559.0"/>
        <n v="869776.0"/>
        <n v="1145866.0"/>
        <n v="1218402.0"/>
        <n v="621853.0"/>
        <n v="2005203.0"/>
        <n v="1666761.0"/>
        <n v="1512397.0"/>
        <n v="1322115.0"/>
        <n v="1852410.0"/>
        <n v="2677203.0"/>
        <n v="1787459.0"/>
        <n v="2859020.0"/>
        <n v="1667459.0"/>
        <n v="1876112.0"/>
        <n v="2250777.0"/>
        <n v="1608256.0"/>
        <n v="3317930.0"/>
        <n v="2371684.0"/>
        <n v="1728513.0"/>
        <n v="2362705.0"/>
        <n v="4270563.0"/>
        <n v="2951905.0"/>
        <n v="2572517.0"/>
        <n v="4180828.0"/>
        <n v="2038064.0"/>
        <n v="3143055.0"/>
        <n v="2634493.0"/>
        <n v="4114567.0"/>
        <n v="3913755.0"/>
        <n v="4405789.0"/>
        <n v="4498221.0"/>
        <n v="2935104.0"/>
        <n v="3742867.0"/>
        <n v="4738256.0"/>
        <n v="5103858.0"/>
        <n v="5850343.0"/>
        <n v="3167338.0"/>
        <n v="4763725.0"/>
        <n v="2404556.0"/>
        <n v="3909282.0"/>
        <n v="6069524.0"/>
        <n v="5544510.0"/>
        <n v="5259000.0"/>
        <n v="4435221.0"/>
        <n v="2640299.0"/>
        <n v="7496988.0"/>
        <n v="3423961.0"/>
        <n v="3543299.0"/>
        <n v="6397061.0"/>
        <n v="8013906.0"/>
        <n v="4931896.0"/>
        <n v="1193981.0"/>
        <n v="5291080.0"/>
        <n v="7510604.0"/>
        <n v="2623424.0"/>
        <n v="6949849.0"/>
        <n v="8609395.0"/>
        <n v="5780230.0"/>
        <n v="8885035.0"/>
        <n v="5718191.0"/>
        <n v="6761436.0"/>
        <n v="9327506.0"/>
        <n v="8308740.0"/>
        <n v="7931180.0"/>
        <n v="8953860.0"/>
        <n v="2261021.0"/>
        <n v="8743468.0"/>
        <n v="6509478.0"/>
        <n v="1.1366979E7"/>
        <n v="8185478.0"/>
        <n v="8221976.0"/>
        <n v="1629988.0"/>
        <n v="5869446.0"/>
        <n v="2257829.0"/>
        <n v="4842717.0"/>
        <n v="4792105.0"/>
        <n v="7333290.0"/>
        <n v="3863362.0"/>
        <n v="4051341.0"/>
        <n v="8057514.0"/>
        <n v="1.5804521E7"/>
        <n v="9708489.0"/>
        <n v="1.1320847E7"/>
        <n v="9286713.0"/>
        <n v="8204575.0"/>
        <n v="1.0828715E7"/>
        <n v="1.6770076E7"/>
        <n v="3333777.0"/>
        <n v="1.0425669E7"/>
        <n v="8891940.0"/>
        <n v="6397866.0"/>
        <n v="4007061.0"/>
        <n v="4024595.0"/>
        <n v="2.1991352E7"/>
        <n v="1.6081082E7"/>
        <n v="1.363915E7"/>
        <n v="1.52798E7"/>
        <n v="1.0670458E7"/>
        <n v="2.5102966E7"/>
        <n v="5995190.0"/>
        <n v="1.1306427E7"/>
        <n v="1.7820023E7"/>
        <n v="1.158764E7"/>
        <n v="2.4973603E7"/>
        <n v="2.1962884E7"/>
        <n v="2.5815969E7"/>
        <n v="1.687383E7"/>
        <n v="2.9343565E7"/>
        <n v="2.3450015E7"/>
        <n v="3.0783259E7"/>
        <n v="2.2724238E7"/>
        <n v="1.0131489E7"/>
        <n v="2.8514939E7"/>
        <n v="3.0442195E7"/>
        <n v="1.5458182E7"/>
        <n v="3.233269E7"/>
        <n v="4.1630282E7"/>
        <n v="1.1414209E7"/>
        <n v="3.7782537E7"/>
        <n v="4.1431385E7"/>
        <n v="4.1740294E7"/>
        <n v="1.5053275E7"/>
        <n v="1.6943754E7"/>
        <n v="3.9946778E7"/>
        <n v="2.1042573E7"/>
        <n v="4.2951474E7"/>
        <n v="5.2855225E7"/>
        <n v="5.6958397E7"/>
        <n v="3.5898128E7"/>
        <n v="6.4893181E7"/>
        <n v="6.3728814E7"/>
        <n v="6.4186252E7"/>
        <n v="4.0874035E7"/>
        <n v="3.6346228E7"/>
        <n v="4.378173E7"/>
        <n v="5.1950198E7"/>
        <n v="2.494135E7"/>
        <n v="1.16082623E8"/>
        <n v="1.04088692E8"/>
        <n v="1.09091849E8"/>
        <n v="6.2873472E7"/>
        <n v="1.07106011E8"/>
        <n v="1.85081847E8"/>
        <n v="8.2094636E7"/>
        <n v="1.54926513E8"/>
        <n v="2.7362004E8"/>
        <n v="4.81980363E8"/>
        <n v="9.02949199E8"/>
      </sharedItems>
    </cacheField>
    <cacheField name="pop_r%" numFmtId="0">
      <sharedItems containsSemiMixedTypes="0" containsString="0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n (m)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</sharedItems>
    </cacheField>
    <cacheField name=" wat_bas_n (rounded)">
      <sharedItems containsMixedTypes="1" containsNumber="1">
        <n v="99.70768"/>
        <n v="97.01088"/>
        <n v="95.30893"/>
        <n v="98.07748"/>
        <n v="91.4"/>
        <n v="99.1"/>
        <n v="100.0"/>
        <n v="99.14329"/>
        <n v="99.97161"/>
        <n v="99.65755"/>
        <n v="99.86438"/>
        <n v="99.99927"/>
        <n v="99.77377"/>
        <n v="88.57205"/>
        <n v="99.90314"/>
        <n v="99.075"/>
        <n v="98.71827"/>
        <n v="98.73108"/>
        <n v="77.97092"/>
        <n v="99.6952"/>
        <n v="96.88784"/>
        <n v="91.83772"/>
        <n v="78.22646"/>
        <n v="96.37118"/>
        <n v="99.30532"/>
        <n v="98.51445"/>
        <n v="93.78222"/>
        <n v="91.23119"/>
        <n v="99.84197"/>
        <n v="98.40195"/>
        <n v="99.80313"/>
        <n v="99.90004"/>
        <n v="99.54444"/>
        <n v="88.76961"/>
        <n v="97.98963"/>
        <n v="99.87993"/>
        <n v="98.85692"/>
        <n v="67.30103"/>
        <n v="97.31322"/>
        <n v="95.55481"/>
        <n v="94.30107"/>
        <n v="76.04992"/>
        <n v="70.75307"/>
        <n v="99.76517"/>
        <n v="99.86625"/>
        <n v="85.4956"/>
        <n v="99.59078"/>
        <n v="98.87517"/>
        <n v="98.7826"/>
        <n v="59.01691"/>
        <n v="99.5"/>
        <n v="97.74282"/>
        <n v="72.17604"/>
        <n v="85.34193"/>
        <n v="92.21356"/>
        <n v="80.94041"/>
        <n v="84.27004"/>
        <n v="98.01335"/>
        <n v="95.06804"/>
        <n v="99.5681"/>
        <n v="91.02994"/>
        <n v="99.97118"/>
        <n v="85.49563"/>
        <n v="96.1139"/>
        <n v="99.49576"/>
        <n v="97.34814"/>
        <n v="90.56996"/>
        <s v="NAN"/>
        <n v="94.37254"/>
        <n v="71.68105"/>
        <n v="37.2024"/>
        <n v="97.39971"/>
        <n v="75.26179"/>
        <n v="99.81054"/>
        <n v="97.8804"/>
        <n v="92.16802"/>
        <n v="99.7877"/>
        <n v="73.78451"/>
        <n v="97.94658"/>
        <n v="91.69931"/>
        <n v="81.70875"/>
        <n v="92.6"/>
        <n v="99.89152"/>
        <n v="99.01142"/>
        <n v="99.59347"/>
        <n v="85.21974"/>
        <n v="63.76629"/>
        <n v="68.58372"/>
        <n v="95.29553"/>
        <n v="45.34402"/>
        <n v="96.53473"/>
        <n v="81.85242"/>
        <n v="99.9656"/>
        <n v="95.68922"/>
        <n v="99.82687"/>
        <n v="96.04338"/>
        <n v="99.91199"/>
        <n v="98.9403"/>
        <n v="99.88059"/>
        <n v="96.68681"/>
        <n v="40.95093"/>
        <n v="97.0027"/>
        <n v="66.69531"/>
        <n v="93.39007"/>
        <n v="97.54331"/>
        <n v="62.20712"/>
        <n v="65.41412"/>
        <n v="60.4145"/>
        <n v="63.96179"/>
        <n v="62.66646"/>
        <n v="56.47697"/>
        <n v="46.18753"/>
        <n v="71.21988"/>
        <n v="84.90524"/>
        <n v="93.92586"/>
        <n v="95.35976"/>
        <n v="94.00643"/>
        <n v="65.41238"/>
        <n v="95.43497"/>
        <n v="70.04773"/>
        <n v="82.54729"/>
        <n v="47.21485"/>
        <n v="92.22758"/>
        <n v="46.9118"/>
        <n v="99.96981"/>
        <n v="93.84384"/>
        <n v="70.90907"/>
        <n v="65.72042"/>
        <n v="53.38588"/>
        <n v="93.6858"/>
        <n v="90.07454"/>
        <n v="60.66357"/>
        <n v="85.791"/>
        <n v="63.36943"/>
        <n v="97.09991"/>
        <n v="57.16774"/>
        <n v="93.13937"/>
        <n v="97.82878"/>
        <n v="90.40234"/>
        <n v="99.22181"/>
        <n v="99.96659"/>
        <n v="75.09141"/>
        <n v="98.3599"/>
        <n v="93.92828"/>
        <n v="60.44868"/>
        <n v="94.43733"/>
        <n v="55.85505"/>
        <n v="99.92561"/>
        <n v="97.49166"/>
        <n v="99.9314"/>
        <n v="61.63289"/>
        <n v="83.71819"/>
        <n v="93.88506"/>
        <n v="60.7168"/>
        <n v="99.91703"/>
        <n v="97.48264"/>
        <n v="97.01427"/>
        <n v="45.95213"/>
        <n v="96.88436"/>
        <n v="99.44018"/>
        <n v="94.10903"/>
        <n v="49.61557"/>
        <n v="99.07891"/>
        <n v="99.67957"/>
        <n v="96.99255"/>
        <n v="97.69796"/>
        <n v="77.60905"/>
        <n v="99.32085"/>
        <n v="90.14897"/>
        <n v="92.41535"/>
        <n v="99.88353"/>
        <n v="90.48953"/>
        <n v="94.26111"/>
      </sharedItems>
    </cacheField>
    <cacheField name="pop_u (rounded)%" numFmtId="0">
      <sharedItems containsSemiMixedTypes="0" containsString="0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78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89.0"/>
        <n v="98.0"/>
        <n v="41.0"/>
        <n v="67.0"/>
        <n v="66.0"/>
        <n v="91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</sharedItems>
    </cacheField>
    <cacheField name="pop_r (rounded)%" numFmtId="0">
      <sharedItems containsSemiMixedTypes="0" containsString="0" containsNumber="1" containsInteger="1"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22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11.0"/>
        <n v="2.0"/>
        <n v="59.0"/>
        <n v="33.0"/>
        <n v="34.0"/>
        <n v="9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Estimates-on-the-use-of-water-("/>
  </cacheSource>
  <cacheFields>
    <cacheField name="name" numFmtId="0">
      <sharedItems containsBlank="1"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  <m/>
      </sharedItems>
    </cacheField>
    <cacheField name="income_group" numFmtId="0">
      <sharedItems containsBlank="1">
        <s v="NAN"/>
        <s v="High income"/>
        <s v="Upper middle income"/>
        <s v="Lower middle income"/>
        <s v="Low income"/>
        <m/>
      </sharedItems>
    </cacheField>
    <cacheField name="pop_n (k)" numFmtId="0">
      <sharedItems containsString="0" containsBlank="1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  <m/>
      </sharedItems>
    </cacheField>
    <cacheField name="pop_u%" numFmtId="0">
      <sharedItems containsString="0" containsBlank="1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  <m/>
      </sharedItems>
    </cacheField>
    <cacheField name="wat_bas_n">
      <sharedItems containsBlank="1"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  <m/>
      </sharedItems>
    </cacheField>
    <cacheField name="wat_lim_n">
      <sharedItems containsBlank="1"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  <m/>
      </sharedItems>
    </cacheField>
    <cacheField name="wat_unimp_n">
      <sharedItems containsBlank="1"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  <m/>
      </sharedItems>
    </cacheField>
    <cacheField name="wat_sur_n">
      <sharedItems containsBlank="1"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  <m/>
      </sharedItems>
    </cacheField>
    <cacheField name="wat_bas_r">
      <sharedItems containsBlank="1"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2.7527026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  <m/>
      </sharedItems>
    </cacheField>
    <cacheField name="wat_lim_r">
      <sharedItems containsBlank="1"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5.22113688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  <m/>
      </sharedItems>
    </cacheField>
    <cacheField name="wat_unimp_r">
      <sharedItems containsBlank="1"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3.14294909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  <m/>
      </sharedItems>
    </cacheField>
    <cacheField name="wat_sur_r">
      <sharedItems containsBlank="1"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18.88321135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  <m/>
      </sharedItems>
    </cacheField>
    <cacheField name="wat_bas_u">
      <sharedItems containsBlank="1" containsMixedTypes="1" containsNumber="1">
        <s v="NAN"/>
        <n v="100.0"/>
        <n v="99.63420199"/>
        <n v="99.99927139"/>
        <n v="86.9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78.41163766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  <m/>
      </sharedItems>
    </cacheField>
    <cacheField name="wat_lim_u">
      <sharedItems containsBlank="1"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07927743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5.708056353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  <m/>
      </sharedItems>
    </cacheField>
    <cacheField name="wat_unimp_u">
      <sharedItems containsBlank="1"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5.485735437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9.83580681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  <m/>
      </sharedItems>
    </cacheField>
    <cacheField name="wat_sur_u">
      <sharedItems containsBlank="1"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2.023349475"/>
        <n v="0.8727514049"/>
        <n v="6.362160532"/>
        <n v="2.007293339"/>
        <n v="0.06171"/>
        <n v="0.3882429922"/>
        <n v="0.02419708411"/>
        <n v="0.2260230112"/>
        <n v="1.198136794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  <m/>
      </sharedItems>
    </cacheField>
    <cacheField name="pop_n_actual" numFmtId="0">
      <sharedItems containsString="0" containsBlank="1" containsNumber="1" containsInteger="1">
        <n v="1350.0"/>
        <n v="1618.0"/>
        <n v="3483.0"/>
        <n v="4999.0"/>
        <n v="5795.0"/>
        <n v="6071.0"/>
        <n v="9885.0"/>
        <n v="10834.0"/>
        <n v="11246.0"/>
        <n v="11792.0"/>
        <n v="17564.0"/>
        <n v="18092.0"/>
        <n v="30237.0"/>
        <n v="33691.0"/>
        <n v="33938.0"/>
        <n v="38137.0"/>
        <n v="38659.0"/>
        <n v="39244.0"/>
        <n v="48865.0"/>
        <n v="55197.0"/>
        <n v="56772.0"/>
        <n v="57557.0"/>
        <n v="59194.0"/>
        <n v="62273.0"/>
        <n v="77265.0"/>
        <n v="85032.0"/>
        <n v="104423.0"/>
        <n v="105697.0"/>
        <n v="119446.0"/>
        <n v="168783.0"/>
        <n v="183629.0"/>
        <n v="198410.0"/>
        <n v="219161.0"/>
        <n v="272813.0"/>
        <n v="280904.0"/>
        <n v="285491.0"/>
        <n v="287371.0"/>
        <n v="298682.0"/>
        <n v="307150.0"/>
        <n v="341250.0"/>
        <n v="375265.0"/>
        <n v="397621.0"/>
        <n v="400127.0"/>
        <n v="437483.0"/>
        <n v="441539.0"/>
        <n v="540542.0"/>
        <n v="555988.0"/>
        <n v="586634.0"/>
        <n v="625976.0"/>
        <n v="628062.0"/>
        <n v="649342.0"/>
        <n v="686878.0"/>
        <n v="771612.0"/>
        <n v="786559.0"/>
        <n v="895308.0"/>
        <n v="896444.0"/>
        <n v="988002.0"/>
        <n v="1160164.0"/>
        <n v="1207361.0"/>
        <n v="1271767.0"/>
        <n v="1318442.0"/>
        <n v="1326539.0"/>
        <n v="1399491.0"/>
        <n v="1701583.0"/>
        <n v="1886202.0"/>
        <n v="1967998.0"/>
        <n v="2078932.0"/>
        <n v="2083380.0"/>
        <n v="2142252.0"/>
        <n v="2225728.0"/>
        <n v="2351625.0"/>
        <n v="2416664.0"/>
        <n v="2540916.0"/>
        <n v="2722291.0"/>
        <n v="2860840.0"/>
        <n v="2877800.0"/>
        <n v="2881060.0"/>
        <n v="2961161.0"/>
        <n v="2963234.0"/>
        <n v="3278292.0"/>
        <n v="3280815.0"/>
        <n v="3473727.0"/>
        <n v="3989175.0"/>
        <n v="4033963.0"/>
        <n v="4105268.0"/>
        <n v="4270563.0"/>
        <n v="4314768.0"/>
        <n v="4649660.0"/>
        <n v="4822233.0"/>
        <n v="4829764.0"/>
        <n v="4937796.0"/>
        <n v="5057677.0"/>
        <n v="5094114.0"/>
        <n v="5101416.0"/>
        <n v="5106622.0"/>
        <n v="5421242.0"/>
        <n v="5459643.0"/>
        <n v="5518092.0"/>
        <n v="5540718.0"/>
        <n v="5792203.0"/>
        <n v="5850343.0"/>
        <n v="6031187.0"/>
        <n v="6486201.0"/>
        <n v="6524191.0"/>
        <n v="6624554.0"/>
        <n v="6825442.0"/>
        <n v="6871287.0"/>
        <n v="6948445.0"/>
        <n v="7132530.0"/>
        <n v="7275556.0"/>
        <n v="7496988.0"/>
        <n v="7976985.0"/>
        <n v="8278737.0"/>
        <n v="8654618.0"/>
        <n v="8655541.0"/>
        <n v="8737370.0"/>
        <n v="8947027.0"/>
        <n v="9006400.0"/>
        <n v="9449321.0"/>
        <n v="9537642.0"/>
        <n v="9660350.0"/>
        <n v="9890400.0"/>
        <n v="9904608.0"/>
        <n v="1.009927E7"/>
        <n v="1.0139175E7"/>
        <n v="1.0196707E7"/>
        <n v="1.020314E7"/>
        <n v="1.0423056E7"/>
        <n v="1.0708982E7"/>
        <n v="1.0847904E7"/>
        <n v="1.1193729E7"/>
        <n v="1.1326616E7"/>
        <n v="1.1402533E7"/>
        <n v="1.1589616E7"/>
        <n v="1.1673029E7"/>
        <n v="1.1818618E7"/>
        <n v="1.1890781E7"/>
        <n v="1.2123198E7"/>
        <n v="1.2952209E7"/>
        <n v="1.3132792E7"/>
        <n v="1.4862927E7"/>
        <n v="1.5893219E7"/>
        <n v="1.6425859E7"/>
        <n v="1.6718971E7"/>
        <n v="1.674393E7"/>
        <n v="1.7134873E7"/>
        <n v="1.7500656E7"/>
        <n v="1.7643061E7"/>
        <n v="1.7915566E7"/>
        <n v="1.8383955E7"/>
        <n v="1.8776707E7"/>
        <n v="1.9116209E7"/>
        <n v="1.9129955E7"/>
        <n v="1.9237682E7"/>
        <n v="2.0250834E7"/>
        <n v="2.0903277E7"/>
        <n v="2.141325E7"/>
        <n v="2.4206637E7"/>
        <n v="2.5499881E7"/>
        <n v="2.5778814E7"/>
        <n v="2.6378275E7"/>
        <n v="2.6545863E7"/>
        <n v="2.769102E7"/>
        <n v="2.8435943E7"/>
        <n v="2.9136809E7"/>
        <n v="2.9825969E7"/>
        <n v="3.1072945E7"/>
        <n v="3.1255436E7"/>
        <n v="3.2365998E7"/>
        <n v="3.286627E7"/>
        <n v="3.2971848E7"/>
        <n v="3.3469199E7"/>
        <n v="3.4813867E7"/>
        <n v="3.6910559E7"/>
        <n v="3.7742156E7"/>
        <n v="3.7846605E7"/>
        <n v="3.892834E7"/>
        <n v="4.0222504E7"/>
        <n v="4.3733758E7"/>
        <n v="4.384927E7"/>
        <n v="4.3851043E7"/>
        <n v="4.5195777E7"/>
        <n v="4.5741E7"/>
        <n v="4.6754781E7"/>
        <n v="5.0882883E7"/>
        <n v="5.1269184E7"/>
        <n v="5.3771301E7"/>
        <n v="5.4409793E7"/>
        <n v="5.9308691E7"/>
        <n v="5.9734215E7"/>
        <n v="6.0461828E7"/>
        <n v="6.5273512E7"/>
        <n v="6.7886008E7"/>
        <n v="6.9799977E7"/>
        <n v="8.3783945E7"/>
        <n v="8.3992953E7"/>
        <n v="8.433907E7"/>
        <n v="8.9561406E7"/>
        <n v="9.7338586E7"/>
        <n v="1.02334406E8"/>
        <n v="1.09581086E8"/>
        <n v="1.14963586E8"/>
        <n v="1.26476461E8"/>
        <n v="1.2893275E8"/>
        <n v="1.45934453E8"/>
        <n v="1.64689391E8"/>
        <n v="2.06139594E8"/>
        <n v="2.12559406E8"/>
        <n v="2.20892328E8"/>
        <n v="2.73523625E8"/>
        <n v="3.31002656E8"/>
        <n v="1.380004375E9"/>
        <n v="1.4631405E9"/>
        <m/>
      </sharedItems>
    </cacheField>
    <cacheField name="pop_u_val" numFmtId="0">
      <sharedItems containsString="0" containsBlank="1" containsNumber="1" containsInteger="1">
        <n v="0.0"/>
        <n v="748.0"/>
        <n v="2734.0"/>
        <n v="456.0"/>
        <n v="5213.0"/>
        <n v="2433.0"/>
        <n v="9885.0"/>
        <n v="10834.0"/>
        <n v="7549.0"/>
        <n v="13260.0"/>
        <n v="14652.0"/>
        <n v="14669.0"/>
        <n v="33691.0"/>
        <n v="33089.0"/>
        <n v="5498.0"/>
        <n v="38659.0"/>
        <n v="39244.0"/>
        <n v="20718.0"/>
        <n v="48106.0"/>
        <n v="49552.0"/>
        <n v="52836.0"/>
        <n v="46049.0"/>
        <n v="62273.0"/>
        <n v="67928.0"/>
        <n v="44980.0"/>
        <n v="100182.0"/>
        <n v="24415.0"/>
        <n v="66405.0"/>
        <n v="160239.0"/>
        <n v="34598.0"/>
        <n v="35494.0"/>
        <n v="162955.0"/>
        <n v="124815.0"/>
        <n v="174090.0"/>
        <n v="204177.0"/>
        <n v="89634.0"/>
        <n v="256329.0"/>
        <n v="78400.0"/>
        <n v="320427.0"/>
        <n v="334511.0"/>
        <n v="183005.0"/>
        <n v="394121.0"/>
        <n v="342330.0"/>
        <n v="418332.0"/>
        <n v="219833.0"/>
        <n v="370577.0"/>
        <n v="388053.0"/>
        <n v="572474.0"/>
        <n v="423867.0"/>
        <n v="649342.0"/>
        <n v="169453.0"/>
        <n v="326515.0"/>
        <n v="210688.0"/>
        <n v="892255.0"/>
        <n v="513187.0"/>
        <n v="771254.0"/>
        <n v="280423.0"/>
        <n v="806771.0"/>
        <n v="518372.0"/>
        <n v="412936.0"/>
        <n v="918350.0"/>
        <n v="744725.0"/>
        <n v="1523019.0"/>
        <n v="1288559.0"/>
        <n v="869776.0"/>
        <n v="1145866.0"/>
        <n v="1218402.0"/>
        <n v="621853.0"/>
        <n v="2005203.0"/>
        <n v="1666761.0"/>
        <n v="1512397.0"/>
        <n v="1322115.0"/>
        <n v="1852410.0"/>
        <n v="2677203.0"/>
        <n v="1787459.0"/>
        <n v="2859020.0"/>
        <n v="1667459.0"/>
        <n v="1876112.0"/>
        <n v="2250777.0"/>
        <n v="1608256.0"/>
        <n v="3317930.0"/>
        <n v="2371684.0"/>
        <n v="1728513.0"/>
        <n v="2362705.0"/>
        <n v="4270563.0"/>
        <n v="2951905.0"/>
        <n v="2572517.0"/>
        <n v="4180828.0"/>
        <n v="2038064.0"/>
        <n v="3143055.0"/>
        <n v="2634493.0"/>
        <n v="4114567.0"/>
        <n v="3913755.0"/>
        <n v="4405789.0"/>
        <n v="4498221.0"/>
        <n v="2935104.0"/>
        <n v="3742867.0"/>
        <n v="4738256.0"/>
        <n v="5103858.0"/>
        <n v="5850343.0"/>
        <n v="3167338.0"/>
        <n v="4763725.0"/>
        <n v="2404556.0"/>
        <n v="3909282.0"/>
        <n v="6069524.0"/>
        <n v="5544510.0"/>
        <n v="5259000.0"/>
        <n v="4435221.0"/>
        <n v="2640299.0"/>
        <n v="7496988.0"/>
        <n v="3423961.0"/>
        <n v="3543299.0"/>
        <n v="6397061.0"/>
        <n v="8013906.0"/>
        <n v="4931896.0"/>
        <n v="1193981.0"/>
        <n v="5291080.0"/>
        <n v="7510604.0"/>
        <n v="2623424.0"/>
        <n v="6949849.0"/>
        <n v="8609395.0"/>
        <n v="5780230.0"/>
        <n v="8885035.0"/>
        <n v="5718191.0"/>
        <n v="6761436.0"/>
        <n v="9327506.0"/>
        <n v="8308740.0"/>
        <n v="7931180.0"/>
        <n v="8953860.0"/>
        <n v="2261021.0"/>
        <n v="8743468.0"/>
        <n v="6509478.0"/>
        <n v="1.1366979E7"/>
        <n v="8185478.0"/>
        <n v="8221976.0"/>
        <n v="1629988.0"/>
        <n v="5869446.0"/>
        <n v="2257829.0"/>
        <n v="4842717.0"/>
        <n v="4792105.0"/>
        <n v="7333290.0"/>
        <n v="3863362.0"/>
        <n v="4051341.0"/>
        <n v="8057514.0"/>
        <n v="1.5804521E7"/>
        <n v="9708489.0"/>
        <n v="1.1320847E7"/>
        <n v="9286713.0"/>
        <n v="8204575.0"/>
        <n v="1.0828715E7"/>
        <n v="1.6770076E7"/>
        <n v="3333777.0"/>
        <n v="1.0425669E7"/>
        <n v="8891940.0"/>
        <n v="6397866.0"/>
        <n v="4007061.0"/>
        <n v="4024595.0"/>
        <n v="2.1991352E7"/>
        <n v="1.6081082E7"/>
        <n v="1.363915E7"/>
        <n v="1.52798E7"/>
        <n v="1.0670458E7"/>
        <n v="2.5102966E7"/>
        <n v="5995190.0"/>
        <n v="1.1306427E7"/>
        <n v="1.7820023E7"/>
        <n v="1.158764E7"/>
        <n v="2.4973603E7"/>
        <n v="2.1962884E7"/>
        <n v="2.5815969E7"/>
        <n v="1.687383E7"/>
        <n v="2.9343565E7"/>
        <n v="2.3450015E7"/>
        <n v="3.0783259E7"/>
        <n v="2.2724238E7"/>
        <n v="1.0131489E7"/>
        <n v="2.8514939E7"/>
        <n v="3.0442195E7"/>
        <n v="1.5458182E7"/>
        <n v="3.233269E7"/>
        <n v="4.1630282E7"/>
        <n v="1.1414209E7"/>
        <n v="3.7782537E7"/>
        <n v="4.1431385E7"/>
        <n v="4.1740294E7"/>
        <n v="1.5053275E7"/>
        <n v="1.6943754E7"/>
        <n v="3.9946778E7"/>
        <n v="2.1042573E7"/>
        <n v="4.2951474E7"/>
        <n v="5.2855225E7"/>
        <n v="5.6958397E7"/>
        <n v="3.5898128E7"/>
        <n v="6.4893181E7"/>
        <n v="6.3728814E7"/>
        <n v="6.4186252E7"/>
        <n v="4.0874035E7"/>
        <n v="3.6346228E7"/>
        <n v="4.378173E7"/>
        <n v="5.1950198E7"/>
        <n v="2.494135E7"/>
        <n v="1.16082623E8"/>
        <n v="1.04088692E8"/>
        <n v="1.09091849E8"/>
        <n v="6.2873472E7"/>
        <n v="1.07106011E8"/>
        <n v="1.85081847E8"/>
        <n v="8.2094636E7"/>
        <n v="1.54926513E8"/>
        <n v="2.7362004E8"/>
        <n v="4.81980363E8"/>
        <n v="9.02949199E8"/>
        <m/>
      </sharedItems>
    </cacheField>
    <cacheField name="pop_r%" numFmtId="0">
      <sharedItems containsString="0" containsBlank="1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  <m/>
      </sharedItems>
    </cacheField>
    <cacheField name="pop_n (m)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  <m/>
      </sharedItems>
    </cacheField>
    <cacheField name=" wat_bas_n (rounded)">
      <sharedItems containsBlank="1" containsMixedTypes="1" containsNumber="1">
        <n v="99.70768"/>
        <n v="97.01088"/>
        <n v="95.30893"/>
        <n v="98.07748"/>
        <n v="91.4"/>
        <n v="99.1"/>
        <n v="100.0"/>
        <n v="99.14329"/>
        <n v="99.97161"/>
        <n v="99.65755"/>
        <n v="99.86438"/>
        <n v="99.99927"/>
        <n v="99.77377"/>
        <n v="88.57205"/>
        <n v="99.90314"/>
        <n v="99.075"/>
        <n v="98.71827"/>
        <n v="98.73108"/>
        <n v="77.97092"/>
        <n v="99.6952"/>
        <n v="96.88784"/>
        <n v="91.83772"/>
        <n v="78.22646"/>
        <n v="96.37118"/>
        <n v="99.30532"/>
        <n v="98.51445"/>
        <n v="93.78222"/>
        <n v="91.23119"/>
        <n v="99.84197"/>
        <n v="98.40195"/>
        <n v="99.80313"/>
        <n v="99.90004"/>
        <n v="99.54444"/>
        <n v="88.76961"/>
        <n v="97.98963"/>
        <n v="99.87993"/>
        <n v="98.85692"/>
        <n v="67.30103"/>
        <n v="97.31322"/>
        <n v="95.55481"/>
        <n v="94.30107"/>
        <n v="76.04992"/>
        <n v="70.75307"/>
        <n v="99.76517"/>
        <n v="99.86625"/>
        <n v="85.4956"/>
        <n v="99.59078"/>
        <n v="98.87517"/>
        <n v="98.7826"/>
        <n v="59.01691"/>
        <n v="99.5"/>
        <n v="97.74282"/>
        <n v="72.17604"/>
        <n v="85.34193"/>
        <n v="92.21356"/>
        <n v="80.94041"/>
        <n v="84.27004"/>
        <n v="98.01335"/>
        <n v="95.06804"/>
        <n v="99.5681"/>
        <n v="91.02994"/>
        <n v="99.97118"/>
        <n v="85.49563"/>
        <n v="96.1139"/>
        <n v="99.49576"/>
        <n v="97.34814"/>
        <n v="90.56996"/>
        <s v="NAN"/>
        <n v="94.37254"/>
        <n v="71.68105"/>
        <n v="37.2024"/>
        <n v="97.39971"/>
        <n v="75.26179"/>
        <n v="99.81054"/>
        <n v="97.8804"/>
        <n v="92.16802"/>
        <n v="99.7877"/>
        <n v="73.78451"/>
        <n v="97.94658"/>
        <n v="91.69931"/>
        <n v="81.70875"/>
        <n v="92.6"/>
        <n v="99.89152"/>
        <n v="99.01142"/>
        <n v="99.59347"/>
        <n v="85.21974"/>
        <n v="63.76629"/>
        <n v="68.58372"/>
        <n v="95.29553"/>
        <n v="45.34402"/>
        <n v="96.53473"/>
        <n v="81.85242"/>
        <n v="99.9656"/>
        <n v="95.68922"/>
        <n v="99.82687"/>
        <n v="96.04338"/>
        <n v="99.91199"/>
        <n v="98.9403"/>
        <n v="99.88059"/>
        <n v="96.68681"/>
        <n v="40.95093"/>
        <n v="97.0027"/>
        <n v="66.69531"/>
        <n v="93.39007"/>
        <n v="97.54331"/>
        <n v="62.20712"/>
        <n v="65.41412"/>
        <n v="60.4145"/>
        <n v="63.96179"/>
        <n v="62.66646"/>
        <n v="56.47697"/>
        <n v="46.18753"/>
        <n v="71.21988"/>
        <n v="84.90524"/>
        <n v="93.92586"/>
        <n v="95.35976"/>
        <n v="94.00643"/>
        <n v="65.41238"/>
        <n v="95.43497"/>
        <n v="70.04773"/>
        <n v="82.54729"/>
        <n v="47.21485"/>
        <n v="92.22758"/>
        <n v="46.9118"/>
        <n v="99.96981"/>
        <n v="93.84384"/>
        <n v="70.90907"/>
        <n v="65.72042"/>
        <n v="53.38588"/>
        <n v="93.6858"/>
        <n v="90.07454"/>
        <n v="60.66357"/>
        <n v="85.791"/>
        <n v="63.36943"/>
        <n v="97.09991"/>
        <n v="57.16774"/>
        <n v="93.13937"/>
        <n v="97.82878"/>
        <n v="90.40234"/>
        <n v="99.22181"/>
        <n v="99.96659"/>
        <n v="75.09141"/>
        <n v="98.3599"/>
        <n v="93.92828"/>
        <n v="60.44868"/>
        <n v="94.43733"/>
        <n v="55.85505"/>
        <n v="99.92561"/>
        <n v="97.49166"/>
        <n v="99.9314"/>
        <n v="61.63289"/>
        <n v="83.71819"/>
        <n v="93.88506"/>
        <n v="60.7168"/>
        <n v="99.91703"/>
        <n v="97.48264"/>
        <n v="97.01427"/>
        <n v="45.95213"/>
        <n v="96.88436"/>
        <n v="99.44018"/>
        <n v="94.10903"/>
        <n v="49.61557"/>
        <n v="99.07891"/>
        <n v="99.67957"/>
        <n v="96.99255"/>
        <n v="97.69796"/>
        <n v="77.60905"/>
        <n v="99.32085"/>
        <n v="90.14897"/>
        <n v="92.41535"/>
        <n v="99.88353"/>
        <n v="90.48953"/>
        <n v="94.26111"/>
        <m/>
      </sharedItems>
    </cacheField>
    <cacheField name="pop_u (rounded)%" numFmtId="0">
      <sharedItems containsString="0" containsBlank="1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78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89.0"/>
        <n v="98.0"/>
        <n v="41.0"/>
        <n v="67.0"/>
        <n v="66.0"/>
        <n v="91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  <m/>
      </sharedItems>
    </cacheField>
    <cacheField name="pop_r (rounded)%" numFmtId="0">
      <sharedItems containsString="0" containsBlank="1" containsNumber="1" containsInteger="1"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22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11.0"/>
        <n v="2.0"/>
        <n v="59.0"/>
        <n v="33.0"/>
        <n v="34.0"/>
        <n v="9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  <m/>
      </sharedItems>
    </cacheField>
    <cacheField name="income_group_num" numFmtId="0">
      <sharedItems containsString="0" containsBlank="1" containsNumber="1" containsInteger="1">
        <n v="0.0"/>
        <n v="4.0"/>
        <n v="3.0"/>
        <n v="2.0"/>
        <n v="1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D7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axis="axisRow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  <pivotField name="pop_n 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p_n_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 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pop_u (rounded)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op_r (rounded)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come_group_num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AVERAGE of wat_unimp_n" fld="6" subtotal="average" baseField="0"/>
    <dataField name="AVERAGE of wat_lim_n" fld="5" subtotal="average" baseField="0"/>
    <dataField name="AVERAGE of wat_sur_n" fld="7" subtotal="average" baseField="0"/>
  </dataFields>
</pivotTableDefinition>
</file>

<file path=xl/pivotTables/pivotTable2.xml><?xml version="1.0" encoding="utf-8"?>
<pivotTableDefinition xmlns="http://schemas.openxmlformats.org/spreadsheetml/2006/main" name="Income group pivot Table " cacheId="0" dataCaption="" rowGrandTotals="0" compact="0" compactData="0">
  <location ref="A1:G6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p_n 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p_n_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 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pop_u (rounded)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op_r (rounded)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income_group_num" axis="axisRow" compact="0" outline="0" multipleItemSelectionAllowed="1" showAll="0" sortType="ascending">
      <items>
        <item x="0"/>
        <item x="4"/>
        <item x="3"/>
        <item x="2"/>
        <item x="1"/>
        <item t="default"/>
      </items>
    </pivotField>
  </pivotFields>
  <rowFields>
    <field x="23"/>
  </rowFields>
  <colFields>
    <field x="-2"/>
  </colFields>
  <dataFields>
    <dataField name="SUM of pop_n (m)" fld="19" baseField="0"/>
    <dataField name="AVERAGE of pop_u (rounded)%" fld="21" subtotal="average" baseField="0"/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</dataFields>
</pivotTableDefinition>
</file>

<file path=xl/pivotTables/pivotTable3.xml><?xml version="1.0" encoding="utf-8"?>
<pivotTableDefinition xmlns="http://schemas.openxmlformats.org/spreadsheetml/2006/main" name="Rural pivot Table " cacheId="1" dataCaption="" rowGrandTotals="0" compact="0" compactData="0">
  <location ref="A1:F214" firstHeaderRow="0" firstDataRow="3" firstDataCol="0"/>
  <pivotFields>
    <pivotField name="name" axis="axisRow" compact="0" outline="0" multipleItemSelectionAllowed="1" showAll="0" sortType="ascending">
      <items>
        <item x="176"/>
        <item x="75"/>
        <item x="180"/>
        <item x="19"/>
        <item x="24"/>
        <item x="169"/>
        <item x="181"/>
        <item x="78"/>
        <item x="158"/>
        <item x="117"/>
        <item x="124"/>
        <item x="63"/>
        <item x="205"/>
        <item x="36"/>
        <item x="118"/>
        <item x="133"/>
        <item x="41"/>
        <item x="137"/>
        <item x="23"/>
        <item x="52"/>
        <item x="134"/>
        <item x="80"/>
        <item x="70"/>
        <item x="207"/>
        <item x="12"/>
        <item x="43"/>
        <item x="107"/>
        <item x="155"/>
        <item x="136"/>
        <item x="46"/>
        <item x="143"/>
        <item x="161"/>
        <item x="174"/>
        <item x="89"/>
        <item x="142"/>
        <item x="151"/>
        <item x="212"/>
        <item x="110"/>
        <item x="50"/>
        <item x="184"/>
        <item x="97"/>
        <item x="10"/>
        <item x="92"/>
        <item x="160"/>
        <item x="84"/>
        <item x="131"/>
        <item x="58"/>
        <item x="128"/>
        <item x="159"/>
        <item x="197"/>
        <item x="99"/>
        <item x="56"/>
        <item x="129"/>
        <item x="147"/>
        <item x="199"/>
        <item x="102"/>
        <item x="61"/>
        <item x="57"/>
        <item x="201"/>
        <item x="18"/>
        <item x="2"/>
        <item x="55"/>
        <item x="98"/>
        <item x="191"/>
        <item x="37"/>
        <item x="34"/>
        <item x="69"/>
        <item x="71"/>
        <item x="82"/>
        <item x="194"/>
        <item x="166"/>
        <item x="13"/>
        <item x="127"/>
        <item x="20"/>
        <item x="42"/>
        <item x="29"/>
        <item x="148"/>
        <item x="139"/>
        <item x="65"/>
        <item x="53"/>
        <item x="132"/>
        <item x="122"/>
        <item x="120"/>
        <item x="39"/>
        <item x="211"/>
        <item x="209"/>
        <item x="195"/>
        <item x="177"/>
        <item x="90"/>
        <item x="25"/>
        <item x="114"/>
        <item x="190"/>
        <item x="77"/>
        <item x="202"/>
        <item x="126"/>
        <item x="150"/>
        <item x="186"/>
        <item x="28"/>
        <item x="85"/>
        <item x="103"/>
        <item x="109"/>
        <item x="64"/>
        <item x="105"/>
        <item x="68"/>
        <item x="91"/>
        <item x="106"/>
        <item x="15"/>
        <item x="73"/>
        <item x="48"/>
        <item x="162"/>
        <item x="152"/>
        <item x="168"/>
        <item x="45"/>
        <item x="154"/>
        <item x="44"/>
        <item x="22"/>
        <item x="40"/>
        <item x="87"/>
        <item x="59"/>
        <item x="33"/>
        <item x="203"/>
        <item x="17"/>
        <item x="79"/>
        <item x="49"/>
        <item x="3"/>
        <item x="173"/>
        <item x="167"/>
        <item x="187"/>
        <item x="72"/>
        <item x="7"/>
        <item x="164"/>
        <item x="145"/>
        <item x="35"/>
        <item x="88"/>
        <item x="104"/>
        <item x="157"/>
        <item x="206"/>
        <item x="1"/>
        <item x="67"/>
        <item x="21"/>
        <item x="95"/>
        <item x="94"/>
        <item x="208"/>
        <item x="11"/>
        <item x="86"/>
        <item x="116"/>
        <item x="108"/>
        <item x="170"/>
        <item x="200"/>
        <item x="175"/>
        <item x="125"/>
        <item x="74"/>
        <item x="76"/>
        <item x="185"/>
        <item x="83"/>
        <item x="54"/>
        <item x="153"/>
        <item x="204"/>
        <item x="138"/>
        <item x="6"/>
        <item x="5"/>
        <item x="30"/>
        <item x="16"/>
        <item x="4"/>
        <item x="31"/>
        <item x="14"/>
        <item x="32"/>
        <item x="172"/>
        <item x="144"/>
        <item x="115"/>
        <item x="111"/>
        <item x="100"/>
        <item x="96"/>
        <item x="66"/>
        <item x="51"/>
        <item x="141"/>
        <item x="188"/>
        <item x="130"/>
        <item x="183"/>
        <item x="156"/>
        <item x="179"/>
        <item x="47"/>
        <item x="123"/>
        <item x="113"/>
        <item x="146"/>
        <item x="119"/>
        <item x="193"/>
        <item x="60"/>
        <item x="112"/>
        <item x="0"/>
        <item x="27"/>
        <item x="62"/>
        <item x="135"/>
        <item x="196"/>
        <item x="101"/>
        <item x="9"/>
        <item x="182"/>
        <item x="178"/>
        <item x="121"/>
        <item x="192"/>
        <item x="189"/>
        <item x="210"/>
        <item x="26"/>
        <item x="81"/>
        <item x="171"/>
        <item x="38"/>
        <item x="163"/>
        <item x="198"/>
        <item x="8"/>
        <item x="93"/>
        <item x="165"/>
        <item x="149"/>
        <item x="140"/>
        <item t="default"/>
      </items>
    </pivotField>
    <pivotField name="incom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p_n 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p_n_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 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pop_u (rounded)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op_r (rounded)%" axis="axisRow" compact="0" outline="0" multipleItemSelectionAllowed="1" showAll="0" sortType="ascending" defaultSubtotal="0">
      <items>
        <item x="6"/>
        <item x="51"/>
        <item x="33"/>
        <item x="11"/>
        <item x="19"/>
        <item x="22"/>
        <item x="31"/>
        <item x="61"/>
        <item x="15"/>
        <item x="37"/>
        <item x="4"/>
        <item x="32"/>
        <item x="17"/>
        <item x="14"/>
        <item x="29"/>
        <item x="75"/>
        <item x="55"/>
        <item x="76"/>
        <item x="9"/>
        <item x="64"/>
        <item x="2"/>
        <item x="16"/>
        <item x="54"/>
        <item x="59"/>
        <item x="8"/>
        <item x="25"/>
        <item x="57"/>
        <item x="27"/>
        <item x="48"/>
        <item x="66"/>
        <item x="42"/>
        <item x="43"/>
        <item x="35"/>
        <item x="36"/>
        <item x="7"/>
        <item x="49"/>
        <item x="26"/>
        <item x="77"/>
        <item x="52"/>
        <item x="46"/>
        <item x="40"/>
        <item x="21"/>
        <item x="45"/>
        <item x="56"/>
        <item x="18"/>
        <item x="50"/>
        <item x="79"/>
        <item x="74"/>
        <item x="10"/>
        <item x="67"/>
        <item x="80"/>
        <item x="1"/>
        <item x="70"/>
        <item x="44"/>
        <item x="53"/>
        <item x="13"/>
        <item x="34"/>
        <item x="5"/>
        <item x="71"/>
        <item x="73"/>
        <item x="58"/>
        <item x="60"/>
        <item x="78"/>
        <item x="69"/>
        <item x="28"/>
        <item x="47"/>
        <item x="63"/>
        <item x="39"/>
        <item x="30"/>
        <item x="38"/>
        <item x="41"/>
        <item x="20"/>
        <item x="81"/>
        <item x="72"/>
        <item x="65"/>
        <item x="23"/>
        <item x="24"/>
        <item x="68"/>
        <item x="12"/>
        <item x="62"/>
        <item x="3"/>
        <item x="0"/>
      </items>
    </pivotField>
  </pivotFields>
  <rowFields>
    <field x="22"/>
    <field x="0"/>
  </rowFields>
  <colFields>
    <field x="-2"/>
  </colFields>
  <dataFields>
    <dataField name="AVERAGE of wat_bas_r" fld="8" subtotal="average" baseField="0"/>
    <dataField name="AVERAGE of wat_lim_r" fld="9" subtotal="average" baseField="0"/>
    <dataField name="AVERAGE of wat_unimp_r" fld="10" subtotal="average" baseField="0"/>
    <dataField name="AVERAGE of wat_sur_r" fld="11" subtotal="average" baseField="0"/>
  </dataFields>
</pivotTableDefinition>
</file>

<file path=xl/pivotTables/pivotTable4.xml><?xml version="1.0" encoding="utf-8"?>
<pivotTableDefinition xmlns="http://schemas.openxmlformats.org/spreadsheetml/2006/main" name="Urban pivot Table " cacheId="2" dataCaption="" rowGrandTotals="0" compact="0" compactData="0">
  <location ref="A1:F215" firstHeaderRow="0" firstDataRow="3" firstDataCol="0"/>
  <pivotFields>
    <pivotField name="name" axis="axisRow" compact="0" outline="0" multipleItemSelectionAllowed="1" showAll="0" sortType="ascending">
      <items>
        <item x="213"/>
        <item x="176"/>
        <item x="75"/>
        <item x="180"/>
        <item x="19"/>
        <item x="24"/>
        <item x="169"/>
        <item x="181"/>
        <item x="78"/>
        <item x="158"/>
        <item x="117"/>
        <item x="124"/>
        <item x="63"/>
        <item x="205"/>
        <item x="36"/>
        <item x="118"/>
        <item x="133"/>
        <item x="41"/>
        <item x="137"/>
        <item x="23"/>
        <item x="52"/>
        <item x="134"/>
        <item x="80"/>
        <item x="70"/>
        <item x="207"/>
        <item x="12"/>
        <item x="43"/>
        <item x="107"/>
        <item x="155"/>
        <item x="136"/>
        <item x="46"/>
        <item x="143"/>
        <item x="161"/>
        <item x="174"/>
        <item x="89"/>
        <item x="142"/>
        <item x="151"/>
        <item x="212"/>
        <item x="110"/>
        <item x="50"/>
        <item x="184"/>
        <item x="97"/>
        <item x="10"/>
        <item x="92"/>
        <item x="160"/>
        <item x="84"/>
        <item x="131"/>
        <item x="58"/>
        <item x="128"/>
        <item x="159"/>
        <item x="197"/>
        <item x="99"/>
        <item x="56"/>
        <item x="129"/>
        <item x="147"/>
        <item x="199"/>
        <item x="102"/>
        <item x="61"/>
        <item x="57"/>
        <item x="201"/>
        <item x="18"/>
        <item x="2"/>
        <item x="55"/>
        <item x="98"/>
        <item x="191"/>
        <item x="37"/>
        <item x="34"/>
        <item x="69"/>
        <item x="71"/>
        <item x="82"/>
        <item x="194"/>
        <item x="166"/>
        <item x="13"/>
        <item x="127"/>
        <item x="20"/>
        <item x="42"/>
        <item x="29"/>
        <item x="148"/>
        <item x="139"/>
        <item x="65"/>
        <item x="53"/>
        <item x="132"/>
        <item x="122"/>
        <item x="120"/>
        <item x="39"/>
        <item x="211"/>
        <item x="209"/>
        <item x="195"/>
        <item x="177"/>
        <item x="90"/>
        <item x="25"/>
        <item x="114"/>
        <item x="190"/>
        <item x="77"/>
        <item x="202"/>
        <item x="126"/>
        <item x="150"/>
        <item x="186"/>
        <item x="28"/>
        <item x="85"/>
        <item x="103"/>
        <item x="109"/>
        <item x="64"/>
        <item x="105"/>
        <item x="68"/>
        <item x="91"/>
        <item x="106"/>
        <item x="15"/>
        <item x="73"/>
        <item x="48"/>
        <item x="162"/>
        <item x="152"/>
        <item x="168"/>
        <item x="45"/>
        <item x="154"/>
        <item x="44"/>
        <item x="22"/>
        <item x="40"/>
        <item x="87"/>
        <item x="59"/>
        <item x="33"/>
        <item x="203"/>
        <item x="17"/>
        <item x="79"/>
        <item x="49"/>
        <item x="3"/>
        <item x="173"/>
        <item x="167"/>
        <item x="187"/>
        <item x="72"/>
        <item x="7"/>
        <item x="164"/>
        <item x="145"/>
        <item x="35"/>
        <item x="88"/>
        <item x="104"/>
        <item x="157"/>
        <item x="206"/>
        <item x="1"/>
        <item x="67"/>
        <item x="21"/>
        <item x="95"/>
        <item x="94"/>
        <item x="208"/>
        <item x="11"/>
        <item x="86"/>
        <item x="116"/>
        <item x="108"/>
        <item x="170"/>
        <item x="200"/>
        <item x="175"/>
        <item x="125"/>
        <item x="74"/>
        <item x="76"/>
        <item x="185"/>
        <item x="83"/>
        <item x="54"/>
        <item x="153"/>
        <item x="204"/>
        <item x="138"/>
        <item x="6"/>
        <item x="5"/>
        <item x="30"/>
        <item x="16"/>
        <item x="4"/>
        <item x="31"/>
        <item x="14"/>
        <item x="32"/>
        <item x="172"/>
        <item x="144"/>
        <item x="115"/>
        <item x="111"/>
        <item x="100"/>
        <item x="96"/>
        <item x="66"/>
        <item x="51"/>
        <item x="141"/>
        <item x="188"/>
        <item x="130"/>
        <item x="183"/>
        <item x="156"/>
        <item x="179"/>
        <item x="47"/>
        <item x="123"/>
        <item x="113"/>
        <item x="146"/>
        <item x="119"/>
        <item x="193"/>
        <item x="60"/>
        <item x="112"/>
        <item x="0"/>
        <item x="27"/>
        <item x="62"/>
        <item x="135"/>
        <item x="196"/>
        <item x="101"/>
        <item x="9"/>
        <item x="182"/>
        <item x="178"/>
        <item x="121"/>
        <item x="192"/>
        <item x="189"/>
        <item x="210"/>
        <item x="26"/>
        <item x="81"/>
        <item x="171"/>
        <item x="38"/>
        <item x="163"/>
        <item x="198"/>
        <item x="8"/>
        <item x="93"/>
        <item x="165"/>
        <item x="149"/>
        <item x="140"/>
        <item t="default"/>
      </items>
    </pivotField>
    <pivotField name="incom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 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u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wat_bas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wat_unim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wat_sur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op_n_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r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 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pop_u (rounded)%" axis="axisRow" compact="0" outline="0" multipleItemSelectionAllowed="1" showAll="0" sortType="ascending" defaultSubtotal="0">
      <items>
        <item x="82"/>
        <item x="0"/>
        <item x="3"/>
        <item x="62"/>
        <item x="12"/>
        <item x="68"/>
        <item x="24"/>
        <item x="23"/>
        <item x="65"/>
        <item x="72"/>
        <item x="81"/>
        <item x="20"/>
        <item x="41"/>
        <item x="38"/>
        <item x="30"/>
        <item x="39"/>
        <item x="63"/>
        <item x="47"/>
        <item x="28"/>
        <item x="69"/>
        <item x="78"/>
        <item x="60"/>
        <item x="58"/>
        <item x="73"/>
        <item x="71"/>
        <item x="5"/>
        <item x="34"/>
        <item x="13"/>
        <item x="53"/>
        <item x="44"/>
        <item x="70"/>
        <item x="1"/>
        <item x="80"/>
        <item x="67"/>
        <item x="10"/>
        <item x="74"/>
        <item x="79"/>
        <item x="50"/>
        <item x="18"/>
        <item x="56"/>
        <item x="45"/>
        <item x="21"/>
        <item x="40"/>
        <item x="46"/>
        <item x="52"/>
        <item x="77"/>
        <item x="26"/>
        <item x="49"/>
        <item x="7"/>
        <item x="36"/>
        <item x="35"/>
        <item x="43"/>
        <item x="42"/>
        <item x="66"/>
        <item x="48"/>
        <item x="27"/>
        <item x="57"/>
        <item x="25"/>
        <item x="8"/>
        <item x="59"/>
        <item x="54"/>
        <item x="16"/>
        <item x="2"/>
        <item x="64"/>
        <item x="9"/>
        <item x="76"/>
        <item x="55"/>
        <item x="75"/>
        <item x="29"/>
        <item x="14"/>
        <item x="17"/>
        <item x="32"/>
        <item x="4"/>
        <item x="37"/>
        <item x="15"/>
        <item x="61"/>
        <item x="31"/>
        <item x="22"/>
        <item x="19"/>
        <item x="11"/>
        <item x="33"/>
        <item x="51"/>
        <item x="6"/>
      </items>
    </pivotField>
    <pivotField name="pop_r (rounded)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income_group_nu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1"/>
    <field x="0"/>
  </rowFields>
  <colFields>
    <field x="-2"/>
  </colFields>
  <dataFields>
    <dataField name="AVERAGE of wat_bas_u" fld="12" subtotal="average" baseField="0"/>
    <dataField name="AVERAGE of wat_lim_u" fld="13" subtotal="average" baseField="0"/>
    <dataField name="AVERAGE of wat_unimp_u" fld="14" subtotal="average" baseField="0"/>
    <dataField name="AVERAGE of wat_sur_u" fld="15" subtotal="average" baseField="0"/>
  </dataFields>
</pivotTableDefinition>
</file>

<file path=xl/pivotTables/pivotTable5.xml><?xml version="1.0" encoding="utf-8"?>
<pivotTableDefinition xmlns="http://schemas.openxmlformats.org/spreadsheetml/2006/main" name="National pivot Table " cacheId="1" dataCaption="" rowGrandTotals="0" compact="0" compactData="0">
  <location ref="A1:F214" firstHeaderRow="0" firstDataRow="3" firstDataCol="0"/>
  <pivotFields>
    <pivotField name="name" axis="axisRow" compact="0" outline="0" multipleItemSelectionAllowed="1" showAll="0" sortType="ascending">
      <items>
        <item x="176"/>
        <item x="75"/>
        <item x="180"/>
        <item x="19"/>
        <item x="24"/>
        <item x="169"/>
        <item x="181"/>
        <item x="78"/>
        <item x="158"/>
        <item x="117"/>
        <item x="124"/>
        <item x="63"/>
        <item x="205"/>
        <item x="36"/>
        <item x="118"/>
        <item x="133"/>
        <item x="41"/>
        <item x="137"/>
        <item x="23"/>
        <item x="52"/>
        <item x="134"/>
        <item x="80"/>
        <item x="70"/>
        <item x="207"/>
        <item x="12"/>
        <item x="43"/>
        <item x="107"/>
        <item x="155"/>
        <item x="136"/>
        <item x="46"/>
        <item x="143"/>
        <item x="161"/>
        <item x="174"/>
        <item x="89"/>
        <item x="142"/>
        <item x="151"/>
        <item x="212"/>
        <item x="110"/>
        <item x="50"/>
        <item x="184"/>
        <item x="97"/>
        <item x="10"/>
        <item x="92"/>
        <item x="160"/>
        <item x="84"/>
        <item x="131"/>
        <item x="58"/>
        <item x="128"/>
        <item x="159"/>
        <item x="197"/>
        <item x="99"/>
        <item x="56"/>
        <item x="129"/>
        <item x="147"/>
        <item x="199"/>
        <item x="102"/>
        <item x="61"/>
        <item x="57"/>
        <item x="201"/>
        <item x="18"/>
        <item x="2"/>
        <item x="55"/>
        <item x="98"/>
        <item x="191"/>
        <item x="37"/>
        <item x="34"/>
        <item x="69"/>
        <item x="71"/>
        <item x="82"/>
        <item x="194"/>
        <item x="166"/>
        <item x="13"/>
        <item x="127"/>
        <item x="20"/>
        <item x="42"/>
        <item x="29"/>
        <item x="148"/>
        <item x="139"/>
        <item x="65"/>
        <item x="53"/>
        <item x="132"/>
        <item x="122"/>
        <item x="120"/>
        <item x="39"/>
        <item x="211"/>
        <item x="209"/>
        <item x="195"/>
        <item x="177"/>
        <item x="90"/>
        <item x="25"/>
        <item x="114"/>
        <item x="190"/>
        <item x="77"/>
        <item x="202"/>
        <item x="126"/>
        <item x="150"/>
        <item x="186"/>
        <item x="28"/>
        <item x="85"/>
        <item x="103"/>
        <item x="109"/>
        <item x="64"/>
        <item x="105"/>
        <item x="68"/>
        <item x="91"/>
        <item x="106"/>
        <item x="15"/>
        <item x="73"/>
        <item x="48"/>
        <item x="162"/>
        <item x="152"/>
        <item x="168"/>
        <item x="45"/>
        <item x="154"/>
        <item x="44"/>
        <item x="22"/>
        <item x="40"/>
        <item x="87"/>
        <item x="59"/>
        <item x="33"/>
        <item x="203"/>
        <item x="17"/>
        <item x="79"/>
        <item x="49"/>
        <item x="3"/>
        <item x="173"/>
        <item x="167"/>
        <item x="187"/>
        <item x="72"/>
        <item x="7"/>
        <item x="164"/>
        <item x="145"/>
        <item x="35"/>
        <item x="88"/>
        <item x="104"/>
        <item x="157"/>
        <item x="206"/>
        <item x="1"/>
        <item x="67"/>
        <item x="21"/>
        <item x="95"/>
        <item x="94"/>
        <item x="208"/>
        <item x="11"/>
        <item x="86"/>
        <item x="116"/>
        <item x="108"/>
        <item x="170"/>
        <item x="200"/>
        <item x="175"/>
        <item x="125"/>
        <item x="74"/>
        <item x="76"/>
        <item x="185"/>
        <item x="83"/>
        <item x="54"/>
        <item x="153"/>
        <item x="204"/>
        <item x="138"/>
        <item x="6"/>
        <item x="5"/>
        <item x="30"/>
        <item x="16"/>
        <item x="4"/>
        <item x="31"/>
        <item x="14"/>
        <item x="32"/>
        <item x="172"/>
        <item x="144"/>
        <item x="115"/>
        <item x="111"/>
        <item x="100"/>
        <item x="96"/>
        <item x="66"/>
        <item x="51"/>
        <item x="141"/>
        <item x="188"/>
        <item x="130"/>
        <item x="183"/>
        <item x="156"/>
        <item x="179"/>
        <item x="47"/>
        <item x="123"/>
        <item x="113"/>
        <item x="146"/>
        <item x="119"/>
        <item x="193"/>
        <item x="60"/>
        <item x="112"/>
        <item x="0"/>
        <item x="27"/>
        <item x="62"/>
        <item x="135"/>
        <item x="196"/>
        <item x="101"/>
        <item x="9"/>
        <item x="182"/>
        <item x="178"/>
        <item x="121"/>
        <item x="192"/>
        <item x="189"/>
        <item x="210"/>
        <item x="26"/>
        <item x="81"/>
        <item x="171"/>
        <item x="38"/>
        <item x="163"/>
        <item x="198"/>
        <item x="8"/>
        <item x="93"/>
        <item x="165"/>
        <item x="149"/>
        <item x="140"/>
        <item t="default"/>
      </items>
    </pivotField>
    <pivotField name="incom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p_n 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p_n_ac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name=" 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pop_u (rounded)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op_r (rounded)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</pivotFields>
  <rowFields>
    <field x="19"/>
    <field x="0"/>
  </rowFields>
  <colFields>
    <field x="-2"/>
  </colFields>
  <dataFields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1" max="21" width="17.25"/>
    <col customWidth="1" min="22" max="23" width="14.38"/>
    <col customWidth="1" min="24" max="2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24</v>
      </c>
    </row>
    <row r="2">
      <c r="A2" s="1" t="s">
        <v>25</v>
      </c>
      <c r="B2" s="1" t="s">
        <v>26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26</v>
      </c>
      <c r="N2" s="1" t="s">
        <v>26</v>
      </c>
      <c r="O2" s="1" t="s">
        <v>26</v>
      </c>
      <c r="P2" s="1" t="s">
        <v>26</v>
      </c>
      <c r="Q2" s="2">
        <f t="shared" ref="Q2:Q214" si="1">round(C2*1000,0)</f>
        <v>1350</v>
      </c>
      <c r="R2" s="2">
        <f t="shared" ref="R2:R214" si="2">ROUND((D2/100)*Q2,0)</f>
        <v>0</v>
      </c>
      <c r="S2" s="2">
        <f t="shared" ref="S2:S214" si="3">100-D2</f>
        <v>100</v>
      </c>
      <c r="T2" s="2">
        <f t="shared" ref="T2:T214" si="4">ROUNDUP((C2*1000)/1000000,0)</f>
        <v>1</v>
      </c>
      <c r="U2" s="2">
        <f t="shared" ref="U2:U85" si="5">ROUND(E2,5)</f>
        <v>99.70768</v>
      </c>
      <c r="V2" s="2">
        <f t="shared" ref="V2:V214" si="6">ROUND(D2,0)</f>
        <v>0</v>
      </c>
      <c r="W2" s="2">
        <f t="shared" ref="W2:W214" si="7">ROUND(100-V2,0)</f>
        <v>100</v>
      </c>
      <c r="X2" s="2">
        <f t="shared" ref="X2:X214" si="8">IFS(B2="NAN",0,B2="Low income",1,B2="Lower middle income",2,B2="Upper middle income",3,B2="High income",4)</f>
        <v>0</v>
      </c>
    </row>
    <row r="3">
      <c r="A3" s="1" t="s">
        <v>27</v>
      </c>
      <c r="B3" s="1" t="s">
        <v>26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2">
        <f t="shared" si="1"/>
        <v>1618</v>
      </c>
      <c r="R3" s="2">
        <f t="shared" si="2"/>
        <v>748</v>
      </c>
      <c r="S3" s="2">
        <f t="shared" si="3"/>
        <v>53.79799652</v>
      </c>
      <c r="T3" s="2">
        <f t="shared" si="4"/>
        <v>1</v>
      </c>
      <c r="U3" s="2">
        <f t="shared" si="5"/>
        <v>97.01088</v>
      </c>
      <c r="V3" s="2">
        <f t="shared" si="6"/>
        <v>46</v>
      </c>
      <c r="W3" s="2">
        <f t="shared" si="7"/>
        <v>54</v>
      </c>
      <c r="X3" s="2">
        <f t="shared" si="8"/>
        <v>0</v>
      </c>
    </row>
    <row r="4">
      <c r="A4" s="1" t="s">
        <v>28</v>
      </c>
      <c r="B4" s="1" t="s">
        <v>26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1">
        <v>78.17294282</v>
      </c>
      <c r="J4" s="1">
        <v>0.0</v>
      </c>
      <c r="K4" s="1">
        <v>21.82705718</v>
      </c>
      <c r="L4" s="1">
        <v>0.0</v>
      </c>
      <c r="M4" s="1">
        <v>100.0</v>
      </c>
      <c r="N4" s="1">
        <v>0.0</v>
      </c>
      <c r="O4" s="1">
        <v>0.0</v>
      </c>
      <c r="P4" s="1">
        <v>0.0</v>
      </c>
      <c r="Q4" s="2">
        <f t="shared" si="1"/>
        <v>3483</v>
      </c>
      <c r="R4" s="2">
        <f t="shared" si="2"/>
        <v>2734</v>
      </c>
      <c r="S4" s="2">
        <f t="shared" si="3"/>
        <v>21.49200439</v>
      </c>
      <c r="T4" s="2">
        <f t="shared" si="4"/>
        <v>1</v>
      </c>
      <c r="U4" s="2">
        <f t="shared" si="5"/>
        <v>95.30893</v>
      </c>
      <c r="V4" s="2">
        <f t="shared" si="6"/>
        <v>79</v>
      </c>
      <c r="W4" s="2">
        <f t="shared" si="7"/>
        <v>21</v>
      </c>
      <c r="X4" s="2">
        <f t="shared" si="8"/>
        <v>0</v>
      </c>
    </row>
    <row r="5">
      <c r="A5" s="1" t="s">
        <v>29</v>
      </c>
      <c r="B5" s="1" t="s">
        <v>26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2">
        <f t="shared" si="1"/>
        <v>4999</v>
      </c>
      <c r="R5" s="2">
        <f t="shared" si="2"/>
        <v>456</v>
      </c>
      <c r="S5" s="2">
        <f t="shared" si="3"/>
        <v>90.88500023</v>
      </c>
      <c r="T5" s="2">
        <f t="shared" si="4"/>
        <v>1</v>
      </c>
      <c r="U5" s="2">
        <f t="shared" si="5"/>
        <v>98.07748</v>
      </c>
      <c r="V5" s="2">
        <f t="shared" si="6"/>
        <v>9</v>
      </c>
      <c r="W5" s="2">
        <f t="shared" si="7"/>
        <v>91</v>
      </c>
      <c r="X5" s="2">
        <f t="shared" si="8"/>
        <v>0</v>
      </c>
    </row>
    <row r="6">
      <c r="A6" s="1" t="s">
        <v>30</v>
      </c>
      <c r="B6" s="1" t="s">
        <v>26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  <c r="Q6" s="2">
        <f t="shared" si="1"/>
        <v>5795</v>
      </c>
      <c r="R6" s="2">
        <f t="shared" si="2"/>
        <v>5213</v>
      </c>
      <c r="S6" s="2">
        <f t="shared" si="3"/>
        <v>10.03800201</v>
      </c>
      <c r="T6" s="2">
        <f t="shared" si="4"/>
        <v>1</v>
      </c>
      <c r="U6" s="2">
        <f t="shared" si="5"/>
        <v>91.4</v>
      </c>
      <c r="V6" s="2">
        <f t="shared" si="6"/>
        <v>90</v>
      </c>
      <c r="W6" s="2">
        <f t="shared" si="7"/>
        <v>10</v>
      </c>
      <c r="X6" s="2">
        <f t="shared" si="8"/>
        <v>0</v>
      </c>
    </row>
    <row r="7">
      <c r="A7" s="1" t="s">
        <v>31</v>
      </c>
      <c r="B7" s="1" t="s">
        <v>26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  <c r="Q7" s="2">
        <f t="shared" si="1"/>
        <v>6071</v>
      </c>
      <c r="R7" s="2">
        <f t="shared" si="2"/>
        <v>2433</v>
      </c>
      <c r="S7" s="2">
        <f t="shared" si="3"/>
        <v>59.91799927</v>
      </c>
      <c r="T7" s="2">
        <f t="shared" si="4"/>
        <v>1</v>
      </c>
      <c r="U7" s="2">
        <f t="shared" si="5"/>
        <v>99.1</v>
      </c>
      <c r="V7" s="2">
        <f t="shared" si="6"/>
        <v>40</v>
      </c>
      <c r="W7" s="2">
        <f t="shared" si="7"/>
        <v>60</v>
      </c>
      <c r="X7" s="2">
        <f t="shared" si="8"/>
        <v>0</v>
      </c>
    </row>
    <row r="8">
      <c r="A8" s="1" t="s">
        <v>32</v>
      </c>
      <c r="B8" s="1" t="s">
        <v>26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26</v>
      </c>
      <c r="J8" s="1" t="s">
        <v>26</v>
      </c>
      <c r="K8" s="1" t="s">
        <v>26</v>
      </c>
      <c r="L8" s="1" t="s">
        <v>26</v>
      </c>
      <c r="M8" s="1">
        <v>100.0</v>
      </c>
      <c r="N8" s="1">
        <v>0.0</v>
      </c>
      <c r="O8" s="1">
        <v>0.0</v>
      </c>
      <c r="P8" s="1">
        <v>0.0</v>
      </c>
      <c r="Q8" s="2">
        <f t="shared" si="1"/>
        <v>9885</v>
      </c>
      <c r="R8" s="2">
        <f t="shared" si="2"/>
        <v>9885</v>
      </c>
      <c r="S8" s="2">
        <f t="shared" si="3"/>
        <v>0</v>
      </c>
      <c r="T8" s="2">
        <f t="shared" si="4"/>
        <v>1</v>
      </c>
      <c r="U8" s="2">
        <f t="shared" si="5"/>
        <v>100</v>
      </c>
      <c r="V8" s="2">
        <f t="shared" si="6"/>
        <v>100</v>
      </c>
      <c r="W8" s="2">
        <f t="shared" si="7"/>
        <v>0</v>
      </c>
      <c r="X8" s="2">
        <f t="shared" si="8"/>
        <v>0</v>
      </c>
    </row>
    <row r="9">
      <c r="A9" s="1" t="s">
        <v>33</v>
      </c>
      <c r="B9" s="1" t="s">
        <v>34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1" t="s">
        <v>26</v>
      </c>
      <c r="J9" s="1" t="s">
        <v>26</v>
      </c>
      <c r="K9" s="1" t="s">
        <v>26</v>
      </c>
      <c r="L9" s="1" t="s">
        <v>26</v>
      </c>
      <c r="M9" s="1">
        <v>100.0</v>
      </c>
      <c r="N9" s="1">
        <v>0.0</v>
      </c>
      <c r="O9" s="1">
        <v>0.0</v>
      </c>
      <c r="P9" s="1">
        <v>0.0</v>
      </c>
      <c r="Q9" s="2">
        <f t="shared" si="1"/>
        <v>10834</v>
      </c>
      <c r="R9" s="2">
        <f t="shared" si="2"/>
        <v>10834</v>
      </c>
      <c r="S9" s="2">
        <f t="shared" si="3"/>
        <v>0</v>
      </c>
      <c r="T9" s="2">
        <f t="shared" si="4"/>
        <v>1</v>
      </c>
      <c r="U9" s="2">
        <f t="shared" si="5"/>
        <v>100</v>
      </c>
      <c r="V9" s="2">
        <f t="shared" si="6"/>
        <v>100</v>
      </c>
      <c r="W9" s="2">
        <f t="shared" si="7"/>
        <v>0</v>
      </c>
      <c r="X9" s="2">
        <f t="shared" si="8"/>
        <v>4</v>
      </c>
    </row>
    <row r="10">
      <c r="A10" s="1" t="s">
        <v>35</v>
      </c>
      <c r="B10" s="1" t="s">
        <v>26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1">
        <v>99.14328736</v>
      </c>
      <c r="J10" s="1">
        <v>0.0</v>
      </c>
      <c r="K10" s="1">
        <v>0.856712639</v>
      </c>
      <c r="L10" s="1">
        <v>0.0</v>
      </c>
      <c r="M10" s="1" t="s">
        <v>26</v>
      </c>
      <c r="N10" s="1" t="s">
        <v>26</v>
      </c>
      <c r="O10" s="1" t="s">
        <v>26</v>
      </c>
      <c r="P10" s="1" t="s">
        <v>26</v>
      </c>
      <c r="Q10" s="2">
        <f t="shared" si="1"/>
        <v>11246</v>
      </c>
      <c r="R10" s="2">
        <f t="shared" si="2"/>
        <v>0</v>
      </c>
      <c r="S10" s="2">
        <f t="shared" si="3"/>
        <v>100</v>
      </c>
      <c r="T10" s="2">
        <f t="shared" si="4"/>
        <v>1</v>
      </c>
      <c r="U10" s="2">
        <f t="shared" si="5"/>
        <v>99.14329</v>
      </c>
      <c r="V10" s="2">
        <f t="shared" si="6"/>
        <v>0</v>
      </c>
      <c r="W10" s="2">
        <f t="shared" si="7"/>
        <v>100</v>
      </c>
      <c r="X10" s="2">
        <f t="shared" si="8"/>
        <v>0</v>
      </c>
    </row>
    <row r="11">
      <c r="A11" s="1" t="s">
        <v>36</v>
      </c>
      <c r="B11" s="1" t="s">
        <v>37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>
        <f t="shared" si="1"/>
        <v>11792</v>
      </c>
      <c r="R11" s="2">
        <f t="shared" si="2"/>
        <v>7549</v>
      </c>
      <c r="S11" s="2">
        <f t="shared" si="3"/>
        <v>35.98600006</v>
      </c>
      <c r="T11" s="2">
        <f t="shared" si="4"/>
        <v>1</v>
      </c>
      <c r="U11" s="2">
        <f t="shared" si="5"/>
        <v>100</v>
      </c>
      <c r="V11" s="2">
        <f t="shared" si="6"/>
        <v>64</v>
      </c>
      <c r="W11" s="2">
        <f t="shared" si="7"/>
        <v>36</v>
      </c>
      <c r="X11" s="2">
        <f t="shared" si="8"/>
        <v>3</v>
      </c>
    </row>
    <row r="12">
      <c r="A12" s="1" t="s">
        <v>38</v>
      </c>
      <c r="B12" s="1" t="s">
        <v>26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2">
        <f t="shared" si="1"/>
        <v>17564</v>
      </c>
      <c r="R12" s="2">
        <f t="shared" si="2"/>
        <v>13260</v>
      </c>
      <c r="S12" s="2">
        <f t="shared" si="3"/>
        <v>24.50499725</v>
      </c>
      <c r="T12" s="2">
        <f t="shared" si="4"/>
        <v>1</v>
      </c>
      <c r="U12" s="2">
        <f t="shared" si="5"/>
        <v>99.97161</v>
      </c>
      <c r="V12" s="2">
        <f t="shared" si="6"/>
        <v>75</v>
      </c>
      <c r="W12" s="2">
        <f t="shared" si="7"/>
        <v>25</v>
      </c>
      <c r="X12" s="2">
        <f t="shared" si="8"/>
        <v>0</v>
      </c>
    </row>
    <row r="13">
      <c r="A13" s="1" t="s">
        <v>39</v>
      </c>
      <c r="B13" s="1" t="s">
        <v>37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1">
        <v>99.75698503</v>
      </c>
      <c r="J13" s="1">
        <v>0.0</v>
      </c>
      <c r="K13" s="1">
        <v>0.2430149677</v>
      </c>
      <c r="L13" s="1">
        <v>0.0</v>
      </c>
      <c r="M13" s="1">
        <v>99.63420199</v>
      </c>
      <c r="N13" s="1">
        <v>0.0</v>
      </c>
      <c r="O13" s="1">
        <v>0.3657980078</v>
      </c>
      <c r="P13" s="1">
        <v>0.0</v>
      </c>
      <c r="Q13" s="2">
        <f t="shared" si="1"/>
        <v>18092</v>
      </c>
      <c r="R13" s="2">
        <f t="shared" si="2"/>
        <v>14652</v>
      </c>
      <c r="S13" s="2">
        <f t="shared" si="3"/>
        <v>19.01200104</v>
      </c>
      <c r="T13" s="2">
        <f t="shared" si="4"/>
        <v>1</v>
      </c>
      <c r="U13" s="2">
        <f t="shared" si="5"/>
        <v>99.65755</v>
      </c>
      <c r="V13" s="2">
        <f t="shared" si="6"/>
        <v>81</v>
      </c>
      <c r="W13" s="2">
        <f t="shared" si="7"/>
        <v>19</v>
      </c>
      <c r="X13" s="2">
        <f t="shared" si="8"/>
        <v>3</v>
      </c>
    </row>
    <row r="14">
      <c r="A14" s="1" t="s">
        <v>40</v>
      </c>
      <c r="B14" s="1" t="s">
        <v>34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2">
        <f t="shared" si="1"/>
        <v>30237</v>
      </c>
      <c r="R14" s="2">
        <f t="shared" si="2"/>
        <v>14669</v>
      </c>
      <c r="S14" s="2">
        <f t="shared" si="3"/>
        <v>51.48500061</v>
      </c>
      <c r="T14" s="2">
        <f t="shared" si="4"/>
        <v>1</v>
      </c>
      <c r="U14" s="2">
        <f t="shared" si="5"/>
        <v>99.86438</v>
      </c>
      <c r="V14" s="2">
        <f t="shared" si="6"/>
        <v>49</v>
      </c>
      <c r="W14" s="2">
        <f t="shared" si="7"/>
        <v>51</v>
      </c>
      <c r="X14" s="2">
        <f t="shared" si="8"/>
        <v>4</v>
      </c>
    </row>
    <row r="15">
      <c r="A15" s="1" t="s">
        <v>41</v>
      </c>
      <c r="B15" s="1" t="s">
        <v>34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1" t="s">
        <v>26</v>
      </c>
      <c r="J15" s="1" t="s">
        <v>26</v>
      </c>
      <c r="K15" s="1" t="s">
        <v>26</v>
      </c>
      <c r="L15" s="1" t="s">
        <v>26</v>
      </c>
      <c r="M15" s="1">
        <v>100.0</v>
      </c>
      <c r="N15" s="1">
        <v>0.0</v>
      </c>
      <c r="O15" s="1">
        <v>0.0</v>
      </c>
      <c r="P15" s="1">
        <v>0.0</v>
      </c>
      <c r="Q15" s="2">
        <f t="shared" si="1"/>
        <v>33691</v>
      </c>
      <c r="R15" s="2">
        <f t="shared" si="2"/>
        <v>33691</v>
      </c>
      <c r="S15" s="2">
        <f t="shared" si="3"/>
        <v>0</v>
      </c>
      <c r="T15" s="2">
        <f t="shared" si="4"/>
        <v>1</v>
      </c>
      <c r="U15" s="2">
        <f t="shared" si="5"/>
        <v>100</v>
      </c>
      <c r="V15" s="2">
        <f t="shared" si="6"/>
        <v>100</v>
      </c>
      <c r="W15" s="2">
        <f t="shared" si="7"/>
        <v>0</v>
      </c>
      <c r="X15" s="2">
        <f t="shared" si="8"/>
        <v>4</v>
      </c>
    </row>
    <row r="16">
      <c r="A16" s="1" t="s">
        <v>42</v>
      </c>
      <c r="B16" s="1" t="s">
        <v>34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  <c r="Q16" s="2">
        <f t="shared" si="1"/>
        <v>33938</v>
      </c>
      <c r="R16" s="2">
        <f t="shared" si="2"/>
        <v>33089</v>
      </c>
      <c r="S16" s="2">
        <f t="shared" si="3"/>
        <v>2.50099945</v>
      </c>
      <c r="T16" s="2">
        <f t="shared" si="4"/>
        <v>1</v>
      </c>
      <c r="U16" s="2">
        <f t="shared" si="5"/>
        <v>100</v>
      </c>
      <c r="V16" s="2">
        <f t="shared" si="6"/>
        <v>97</v>
      </c>
      <c r="W16" s="2">
        <f t="shared" si="7"/>
        <v>3</v>
      </c>
      <c r="X16" s="2">
        <f t="shared" si="8"/>
        <v>4</v>
      </c>
    </row>
    <row r="17">
      <c r="A17" s="1" t="s">
        <v>43</v>
      </c>
      <c r="B17" s="1" t="s">
        <v>34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26</v>
      </c>
      <c r="Q17" s="2">
        <f t="shared" si="1"/>
        <v>38137</v>
      </c>
      <c r="R17" s="2">
        <f t="shared" si="2"/>
        <v>5498</v>
      </c>
      <c r="S17" s="2">
        <f t="shared" si="3"/>
        <v>85.58399963</v>
      </c>
      <c r="T17" s="2">
        <f t="shared" si="4"/>
        <v>1</v>
      </c>
      <c r="U17" s="2">
        <f t="shared" si="5"/>
        <v>100</v>
      </c>
      <c r="V17" s="2">
        <f t="shared" si="6"/>
        <v>14</v>
      </c>
      <c r="W17" s="2">
        <f t="shared" si="7"/>
        <v>86</v>
      </c>
      <c r="X17" s="2">
        <f t="shared" si="8"/>
        <v>4</v>
      </c>
    </row>
    <row r="18">
      <c r="A18" s="1" t="s">
        <v>44</v>
      </c>
      <c r="B18" s="1" t="s">
        <v>34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1" t="s">
        <v>26</v>
      </c>
      <c r="J18" s="1" t="s">
        <v>26</v>
      </c>
      <c r="K18" s="1" t="s">
        <v>26</v>
      </c>
      <c r="L18" s="1" t="s">
        <v>26</v>
      </c>
      <c r="M18" s="1">
        <v>99.99927139</v>
      </c>
      <c r="N18" s="1">
        <v>0.0</v>
      </c>
      <c r="O18" s="1">
        <v>7.286105507E-4</v>
      </c>
      <c r="P18" s="1">
        <v>0.0</v>
      </c>
      <c r="Q18" s="2">
        <f t="shared" si="1"/>
        <v>38659</v>
      </c>
      <c r="R18" s="2">
        <f t="shared" si="2"/>
        <v>38659</v>
      </c>
      <c r="S18" s="2">
        <f t="shared" si="3"/>
        <v>0</v>
      </c>
      <c r="T18" s="2">
        <f t="shared" si="4"/>
        <v>1</v>
      </c>
      <c r="U18" s="2">
        <f t="shared" si="5"/>
        <v>99.99927</v>
      </c>
      <c r="V18" s="2">
        <f t="shared" si="6"/>
        <v>100</v>
      </c>
      <c r="W18" s="2">
        <f t="shared" si="7"/>
        <v>0</v>
      </c>
      <c r="X18" s="2">
        <f t="shared" si="8"/>
        <v>4</v>
      </c>
    </row>
    <row r="19">
      <c r="A19" s="1" t="s">
        <v>45</v>
      </c>
      <c r="B19" s="1" t="s">
        <v>34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1" t="s">
        <v>26</v>
      </c>
      <c r="J19" s="1" t="s">
        <v>26</v>
      </c>
      <c r="K19" s="1" t="s">
        <v>26</v>
      </c>
      <c r="L19" s="1" t="s">
        <v>26</v>
      </c>
      <c r="M19" s="1">
        <v>100.0</v>
      </c>
      <c r="N19" s="1">
        <v>0.0</v>
      </c>
      <c r="O19" s="1">
        <v>0.0</v>
      </c>
      <c r="P19" s="1">
        <v>0.0</v>
      </c>
      <c r="Q19" s="2">
        <f t="shared" si="1"/>
        <v>39244</v>
      </c>
      <c r="R19" s="2">
        <f t="shared" si="2"/>
        <v>39244</v>
      </c>
      <c r="S19" s="2">
        <f t="shared" si="3"/>
        <v>0</v>
      </c>
      <c r="T19" s="2">
        <f t="shared" si="4"/>
        <v>1</v>
      </c>
      <c r="U19" s="2">
        <f t="shared" si="5"/>
        <v>100</v>
      </c>
      <c r="V19" s="2">
        <f t="shared" si="6"/>
        <v>100</v>
      </c>
      <c r="W19" s="2">
        <f t="shared" si="7"/>
        <v>0</v>
      </c>
      <c r="X19" s="2">
        <f t="shared" si="8"/>
        <v>4</v>
      </c>
    </row>
    <row r="20">
      <c r="A20" s="1" t="s">
        <v>46</v>
      </c>
      <c r="B20" s="1" t="s">
        <v>34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  <c r="Q20" s="2">
        <f t="shared" si="1"/>
        <v>48865</v>
      </c>
      <c r="R20" s="2">
        <f t="shared" si="2"/>
        <v>20718</v>
      </c>
      <c r="S20" s="2">
        <f t="shared" si="3"/>
        <v>57.60200119</v>
      </c>
      <c r="T20" s="2">
        <f t="shared" si="4"/>
        <v>1</v>
      </c>
      <c r="U20" s="2">
        <f t="shared" si="5"/>
        <v>100</v>
      </c>
      <c r="V20" s="2">
        <f t="shared" si="6"/>
        <v>42</v>
      </c>
      <c r="W20" s="2">
        <f t="shared" si="7"/>
        <v>58</v>
      </c>
      <c r="X20" s="2">
        <f t="shared" si="8"/>
        <v>4</v>
      </c>
    </row>
    <row r="21">
      <c r="A21" s="1" t="s">
        <v>47</v>
      </c>
      <c r="B21" s="1" t="s">
        <v>37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  <c r="Q21" s="2">
        <f t="shared" si="1"/>
        <v>55197</v>
      </c>
      <c r="R21" s="2">
        <f t="shared" si="2"/>
        <v>48106</v>
      </c>
      <c r="S21" s="2">
        <f t="shared" si="3"/>
        <v>12.84700012</v>
      </c>
      <c r="T21" s="2">
        <f t="shared" si="4"/>
        <v>1</v>
      </c>
      <c r="U21" s="2">
        <f t="shared" si="5"/>
        <v>99.77377</v>
      </c>
      <c r="V21" s="2">
        <f t="shared" si="6"/>
        <v>87</v>
      </c>
      <c r="W21" s="2">
        <f t="shared" si="7"/>
        <v>13</v>
      </c>
      <c r="X21" s="2">
        <f t="shared" si="8"/>
        <v>3</v>
      </c>
    </row>
    <row r="22">
      <c r="A22" s="1" t="s">
        <v>48</v>
      </c>
      <c r="B22" s="1" t="s">
        <v>34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  <c r="Q22" s="2">
        <f t="shared" si="1"/>
        <v>56772</v>
      </c>
      <c r="R22" s="2">
        <f t="shared" si="2"/>
        <v>49552</v>
      </c>
      <c r="S22" s="2">
        <f t="shared" si="3"/>
        <v>12.71799469</v>
      </c>
      <c r="T22" s="2">
        <f t="shared" si="4"/>
        <v>1</v>
      </c>
      <c r="U22" s="2">
        <f t="shared" si="5"/>
        <v>100</v>
      </c>
      <c r="V22" s="2">
        <f t="shared" si="6"/>
        <v>87</v>
      </c>
      <c r="W22" s="2">
        <f t="shared" si="7"/>
        <v>13</v>
      </c>
      <c r="X22" s="2">
        <f t="shared" si="8"/>
        <v>4</v>
      </c>
    </row>
    <row r="23">
      <c r="A23" s="1" t="s">
        <v>49</v>
      </c>
      <c r="B23" s="1" t="s">
        <v>34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  <c r="Q23" s="2">
        <f t="shared" si="1"/>
        <v>57557</v>
      </c>
      <c r="R23" s="2">
        <f t="shared" si="2"/>
        <v>52836</v>
      </c>
      <c r="S23" s="2">
        <f t="shared" si="3"/>
        <v>8.20200348</v>
      </c>
      <c r="T23" s="2">
        <f t="shared" si="4"/>
        <v>1</v>
      </c>
      <c r="U23" s="2">
        <f t="shared" si="5"/>
        <v>100</v>
      </c>
      <c r="V23" s="2">
        <f t="shared" si="6"/>
        <v>92</v>
      </c>
      <c r="W23" s="2">
        <f t="shared" si="7"/>
        <v>8</v>
      </c>
      <c r="X23" s="2">
        <f t="shared" si="8"/>
        <v>4</v>
      </c>
    </row>
    <row r="24">
      <c r="A24" s="1" t="s">
        <v>50</v>
      </c>
      <c r="B24" s="1" t="s">
        <v>37</v>
      </c>
      <c r="C24" s="1">
        <v>59.19400024</v>
      </c>
      <c r="D24" s="1">
        <v>77.79399109</v>
      </c>
      <c r="E24" s="1">
        <v>88.57204698</v>
      </c>
      <c r="F24" s="1">
        <v>11.387979</v>
      </c>
      <c r="G24" s="1">
        <v>0.03997402585</v>
      </c>
      <c r="H24" s="1">
        <v>0.0</v>
      </c>
      <c r="I24" s="1">
        <v>94.42972</v>
      </c>
      <c r="J24" s="1">
        <v>5.39028</v>
      </c>
      <c r="K24" s="1">
        <v>0.18</v>
      </c>
      <c r="L24" s="1">
        <v>0.0</v>
      </c>
      <c r="M24" s="1">
        <v>86.9</v>
      </c>
      <c r="N24" s="1">
        <v>13.1</v>
      </c>
      <c r="O24" s="1">
        <v>0.0</v>
      </c>
      <c r="P24" s="1">
        <v>0.0</v>
      </c>
      <c r="Q24" s="2">
        <f t="shared" si="1"/>
        <v>59194</v>
      </c>
      <c r="R24" s="2">
        <f t="shared" si="2"/>
        <v>46049</v>
      </c>
      <c r="S24" s="2">
        <f t="shared" si="3"/>
        <v>22.20600891</v>
      </c>
      <c r="T24" s="2">
        <f t="shared" si="4"/>
        <v>1</v>
      </c>
      <c r="U24" s="2">
        <f t="shared" si="5"/>
        <v>88.57205</v>
      </c>
      <c r="V24" s="2">
        <f t="shared" si="6"/>
        <v>78</v>
      </c>
      <c r="W24" s="2">
        <f t="shared" si="7"/>
        <v>22</v>
      </c>
      <c r="X24" s="2">
        <f t="shared" si="8"/>
        <v>3</v>
      </c>
    </row>
    <row r="25">
      <c r="A25" s="1" t="s">
        <v>51</v>
      </c>
      <c r="B25" s="1" t="s">
        <v>34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1" t="s">
        <v>26</v>
      </c>
      <c r="J25" s="1" t="s">
        <v>26</v>
      </c>
      <c r="K25" s="1" t="s">
        <v>26</v>
      </c>
      <c r="L25" s="1" t="s">
        <v>26</v>
      </c>
      <c r="M25" s="1">
        <v>99.90314002</v>
      </c>
      <c r="N25" s="1">
        <v>0.0</v>
      </c>
      <c r="O25" s="1">
        <v>0.09685998294</v>
      </c>
      <c r="P25" s="1">
        <v>0.0</v>
      </c>
      <c r="Q25" s="2">
        <f t="shared" si="1"/>
        <v>62273</v>
      </c>
      <c r="R25" s="2">
        <f t="shared" si="2"/>
        <v>62273</v>
      </c>
      <c r="S25" s="2">
        <f t="shared" si="3"/>
        <v>0</v>
      </c>
      <c r="T25" s="2">
        <f t="shared" si="4"/>
        <v>1</v>
      </c>
      <c r="U25" s="2">
        <f t="shared" si="5"/>
        <v>99.90314</v>
      </c>
      <c r="V25" s="2">
        <f t="shared" si="6"/>
        <v>100</v>
      </c>
      <c r="W25" s="2">
        <f t="shared" si="7"/>
        <v>0</v>
      </c>
      <c r="X25" s="2">
        <f t="shared" si="8"/>
        <v>4</v>
      </c>
    </row>
    <row r="26">
      <c r="A26" s="1" t="s">
        <v>52</v>
      </c>
      <c r="B26" s="1" t="s">
        <v>34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1"/>
        <v>77265</v>
      </c>
      <c r="R26" s="2">
        <f t="shared" si="2"/>
        <v>67928</v>
      </c>
      <c r="S26" s="2">
        <f t="shared" si="3"/>
        <v>12.08399963</v>
      </c>
      <c r="T26" s="2">
        <f t="shared" si="4"/>
        <v>1</v>
      </c>
      <c r="U26" s="2">
        <f t="shared" si="5"/>
        <v>100</v>
      </c>
      <c r="V26" s="2">
        <f t="shared" si="6"/>
        <v>88</v>
      </c>
      <c r="W26" s="2">
        <f t="shared" si="7"/>
        <v>12</v>
      </c>
      <c r="X26" s="2">
        <f t="shared" si="8"/>
        <v>4</v>
      </c>
    </row>
    <row r="27">
      <c r="A27" s="1" t="s">
        <v>53</v>
      </c>
      <c r="B27" s="1" t="s">
        <v>34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  <c r="Q27" s="2">
        <f t="shared" si="1"/>
        <v>85032</v>
      </c>
      <c r="R27" s="2">
        <f t="shared" si="2"/>
        <v>44980</v>
      </c>
      <c r="S27" s="2">
        <f t="shared" si="3"/>
        <v>47.10199738</v>
      </c>
      <c r="T27" s="2">
        <f t="shared" si="4"/>
        <v>1</v>
      </c>
      <c r="U27" s="2">
        <f t="shared" si="5"/>
        <v>99.075</v>
      </c>
      <c r="V27" s="2">
        <f t="shared" si="6"/>
        <v>53</v>
      </c>
      <c r="W27" s="2">
        <f t="shared" si="7"/>
        <v>47</v>
      </c>
      <c r="X27" s="2">
        <f t="shared" si="8"/>
        <v>4</v>
      </c>
    </row>
    <row r="28">
      <c r="A28" s="1" t="s">
        <v>54</v>
      </c>
      <c r="B28" s="1" t="s">
        <v>34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26</v>
      </c>
      <c r="P28" s="1" t="s">
        <v>26</v>
      </c>
      <c r="Q28" s="2">
        <f t="shared" si="1"/>
        <v>104423</v>
      </c>
      <c r="R28" s="2">
        <f t="shared" si="2"/>
        <v>100182</v>
      </c>
      <c r="S28" s="2">
        <f t="shared" si="3"/>
        <v>4.06099701</v>
      </c>
      <c r="T28" s="2">
        <f t="shared" si="4"/>
        <v>1</v>
      </c>
      <c r="U28" s="2">
        <f t="shared" si="5"/>
        <v>98.71827</v>
      </c>
      <c r="V28" s="2">
        <f t="shared" si="6"/>
        <v>96</v>
      </c>
      <c r="W28" s="2">
        <f t="shared" si="7"/>
        <v>4</v>
      </c>
      <c r="X28" s="2">
        <f t="shared" si="8"/>
        <v>4</v>
      </c>
    </row>
    <row r="29">
      <c r="A29" s="1" t="s">
        <v>58</v>
      </c>
      <c r="B29" s="1" t="s">
        <v>37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1">
        <v>98.46807854</v>
      </c>
      <c r="J29" s="1">
        <v>1.103159706</v>
      </c>
      <c r="K29" s="1">
        <v>0.4287617551</v>
      </c>
      <c r="L29" s="1">
        <v>0.0</v>
      </c>
      <c r="M29" s="1">
        <v>99.60665819</v>
      </c>
      <c r="N29" s="1">
        <v>0.143540536</v>
      </c>
      <c r="O29" s="1">
        <v>0.2498012758</v>
      </c>
      <c r="P29" s="1">
        <v>0.0</v>
      </c>
      <c r="Q29" s="2">
        <f t="shared" si="1"/>
        <v>105697</v>
      </c>
      <c r="R29" s="2">
        <f t="shared" si="2"/>
        <v>24415</v>
      </c>
      <c r="S29" s="2">
        <f t="shared" si="3"/>
        <v>76.90100098</v>
      </c>
      <c r="T29" s="2">
        <f t="shared" si="4"/>
        <v>1</v>
      </c>
      <c r="U29" s="2">
        <f t="shared" si="5"/>
        <v>98.73108</v>
      </c>
      <c r="V29" s="2">
        <f t="shared" si="6"/>
        <v>23</v>
      </c>
      <c r="W29" s="2">
        <f t="shared" si="7"/>
        <v>77</v>
      </c>
      <c r="X29" s="2">
        <f t="shared" si="8"/>
        <v>3</v>
      </c>
    </row>
    <row r="30">
      <c r="A30" s="1" t="s">
        <v>62</v>
      </c>
      <c r="B30" s="1" t="s">
        <v>60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1">
        <v>60.99418489</v>
      </c>
      <c r="J30" s="1">
        <v>2.096609799</v>
      </c>
      <c r="K30" s="1">
        <v>36.90920532</v>
      </c>
      <c r="L30" s="1">
        <v>0.0</v>
      </c>
      <c r="M30" s="1">
        <v>91.53117485</v>
      </c>
      <c r="N30" s="1">
        <v>5.658666461</v>
      </c>
      <c r="O30" s="1">
        <v>2.810158691</v>
      </c>
      <c r="P30" s="1">
        <v>0.0</v>
      </c>
      <c r="Q30" s="2">
        <f t="shared" si="1"/>
        <v>119446</v>
      </c>
      <c r="R30" s="2">
        <f t="shared" si="2"/>
        <v>66405</v>
      </c>
      <c r="S30" s="2">
        <f t="shared" si="3"/>
        <v>44.40600204</v>
      </c>
      <c r="T30" s="2">
        <f t="shared" si="4"/>
        <v>1</v>
      </c>
      <c r="U30" s="2">
        <f t="shared" si="5"/>
        <v>77.97092</v>
      </c>
      <c r="V30" s="2">
        <f t="shared" si="6"/>
        <v>56</v>
      </c>
      <c r="W30" s="2">
        <f t="shared" si="7"/>
        <v>44</v>
      </c>
      <c r="X30" s="2">
        <f t="shared" si="8"/>
        <v>2</v>
      </c>
    </row>
    <row r="31">
      <c r="A31" s="1" t="s">
        <v>63</v>
      </c>
      <c r="B31" s="1" t="s">
        <v>34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  <c r="Q31" s="2">
        <f t="shared" si="1"/>
        <v>168783</v>
      </c>
      <c r="R31" s="2">
        <f t="shared" si="2"/>
        <v>160239</v>
      </c>
      <c r="S31" s="2">
        <f t="shared" si="3"/>
        <v>5.06199646</v>
      </c>
      <c r="T31" s="2">
        <f t="shared" si="4"/>
        <v>1</v>
      </c>
      <c r="U31" s="2">
        <f t="shared" si="5"/>
        <v>99.6952</v>
      </c>
      <c r="V31" s="2">
        <f t="shared" si="6"/>
        <v>95</v>
      </c>
      <c r="W31" s="2">
        <f t="shared" si="7"/>
        <v>5</v>
      </c>
      <c r="X31" s="2">
        <f t="shared" si="8"/>
        <v>4</v>
      </c>
    </row>
    <row r="32">
      <c r="A32" s="1" t="s">
        <v>64</v>
      </c>
      <c r="B32" s="1" t="s">
        <v>37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1">
        <v>96.81402383</v>
      </c>
      <c r="J32" s="1">
        <v>1.734152255</v>
      </c>
      <c r="K32" s="1">
        <v>1.451823918</v>
      </c>
      <c r="L32" s="1">
        <v>0.0</v>
      </c>
      <c r="M32" s="1">
        <v>97.20582219</v>
      </c>
      <c r="N32" s="1">
        <v>2.166718886</v>
      </c>
      <c r="O32" s="1">
        <v>0.6274589237</v>
      </c>
      <c r="P32" s="1">
        <v>0.0</v>
      </c>
      <c r="Q32" s="2">
        <f t="shared" si="1"/>
        <v>183629</v>
      </c>
      <c r="R32" s="2">
        <f t="shared" si="2"/>
        <v>34598</v>
      </c>
      <c r="S32" s="2">
        <f t="shared" si="3"/>
        <v>81.1590004</v>
      </c>
      <c r="T32" s="2">
        <f t="shared" si="4"/>
        <v>1</v>
      </c>
      <c r="U32" s="2">
        <f t="shared" si="5"/>
        <v>96.88784</v>
      </c>
      <c r="V32" s="2">
        <f t="shared" si="6"/>
        <v>19</v>
      </c>
      <c r="W32" s="2">
        <f t="shared" si="7"/>
        <v>81</v>
      </c>
      <c r="X32" s="2">
        <f t="shared" si="8"/>
        <v>3</v>
      </c>
    </row>
    <row r="33">
      <c r="A33" s="1" t="s">
        <v>65</v>
      </c>
      <c r="B33" s="1" t="s">
        <v>60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1">
        <v>91.78032287</v>
      </c>
      <c r="J33" s="1">
        <v>6.220703339</v>
      </c>
      <c r="K33" s="1">
        <v>1.72769216</v>
      </c>
      <c r="L33" s="1">
        <v>0.2712816327</v>
      </c>
      <c r="M33" s="1">
        <v>92.10119</v>
      </c>
      <c r="N33" s="1">
        <v>7.89881</v>
      </c>
      <c r="O33" s="1">
        <v>0.0</v>
      </c>
      <c r="P33" s="1">
        <v>0.0</v>
      </c>
      <c r="Q33" s="2">
        <f t="shared" si="1"/>
        <v>198410</v>
      </c>
      <c r="R33" s="2">
        <f t="shared" si="2"/>
        <v>35494</v>
      </c>
      <c r="S33" s="2">
        <f t="shared" si="3"/>
        <v>82.11100006</v>
      </c>
      <c r="T33" s="2">
        <f t="shared" si="4"/>
        <v>1</v>
      </c>
      <c r="U33" s="2">
        <f t="shared" si="5"/>
        <v>91.83772</v>
      </c>
      <c r="V33" s="2">
        <f t="shared" si="6"/>
        <v>18</v>
      </c>
      <c r="W33" s="2">
        <f t="shared" si="7"/>
        <v>82</v>
      </c>
      <c r="X33" s="2">
        <f t="shared" si="8"/>
        <v>2</v>
      </c>
    </row>
    <row r="34">
      <c r="A34" s="1" t="s">
        <v>66</v>
      </c>
      <c r="B34" s="1" t="s">
        <v>60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1">
        <v>74.30061449</v>
      </c>
      <c r="J34" s="1">
        <v>19.71184258</v>
      </c>
      <c r="K34" s="1">
        <v>1.729405704</v>
      </c>
      <c r="L34" s="1">
        <v>4.258137228</v>
      </c>
      <c r="M34" s="1">
        <v>79.5805429</v>
      </c>
      <c r="N34" s="1">
        <v>20.4194571</v>
      </c>
      <c r="O34" s="1">
        <v>0.0</v>
      </c>
      <c r="P34" s="1">
        <v>0.0</v>
      </c>
      <c r="Q34" s="2">
        <f t="shared" si="1"/>
        <v>219161</v>
      </c>
      <c r="R34" s="2">
        <f t="shared" si="2"/>
        <v>162955</v>
      </c>
      <c r="S34" s="2">
        <f t="shared" si="3"/>
        <v>25.64599609</v>
      </c>
      <c r="T34" s="2">
        <f t="shared" si="4"/>
        <v>1</v>
      </c>
      <c r="U34" s="2">
        <f t="shared" si="5"/>
        <v>78.22646</v>
      </c>
      <c r="V34" s="2">
        <f t="shared" si="6"/>
        <v>74</v>
      </c>
      <c r="W34" s="2">
        <f t="shared" si="7"/>
        <v>26</v>
      </c>
      <c r="X34" s="2">
        <f t="shared" si="8"/>
        <v>2</v>
      </c>
    </row>
    <row r="35">
      <c r="A35" s="1" t="s">
        <v>67</v>
      </c>
      <c r="B35" s="1" t="s">
        <v>26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26</v>
      </c>
      <c r="I35" s="1" t="s">
        <v>26</v>
      </c>
      <c r="J35" s="1" t="s">
        <v>26</v>
      </c>
      <c r="K35" s="1" t="s">
        <v>26</v>
      </c>
      <c r="L35" s="1" t="s">
        <v>26</v>
      </c>
      <c r="M35" s="1" t="s">
        <v>26</v>
      </c>
      <c r="N35" s="1" t="s">
        <v>26</v>
      </c>
      <c r="O35" s="1" t="s">
        <v>26</v>
      </c>
      <c r="P35" s="1" t="s">
        <v>26</v>
      </c>
      <c r="Q35" s="2">
        <f t="shared" si="1"/>
        <v>272813</v>
      </c>
      <c r="R35" s="2">
        <f t="shared" si="2"/>
        <v>124815</v>
      </c>
      <c r="S35" s="2">
        <f t="shared" si="3"/>
        <v>54.24900055</v>
      </c>
      <c r="T35" s="2">
        <f t="shared" si="4"/>
        <v>1</v>
      </c>
      <c r="U35" s="2">
        <f t="shared" si="5"/>
        <v>96.37118</v>
      </c>
      <c r="V35" s="2">
        <f t="shared" si="6"/>
        <v>46</v>
      </c>
      <c r="W35" s="2">
        <f t="shared" si="7"/>
        <v>54</v>
      </c>
      <c r="X35" s="2">
        <f t="shared" si="8"/>
        <v>0</v>
      </c>
    </row>
    <row r="36">
      <c r="A36" s="1" t="s">
        <v>68</v>
      </c>
      <c r="B36" s="1" t="s">
        <v>34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1" t="s">
        <v>26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26</v>
      </c>
      <c r="Q36" s="2">
        <f t="shared" si="1"/>
        <v>280904</v>
      </c>
      <c r="R36" s="2">
        <f t="shared" si="2"/>
        <v>174090</v>
      </c>
      <c r="S36" s="2">
        <f t="shared" si="3"/>
        <v>38.02499771</v>
      </c>
      <c r="T36" s="2">
        <f t="shared" si="4"/>
        <v>1</v>
      </c>
      <c r="U36" s="2">
        <f t="shared" si="5"/>
        <v>100</v>
      </c>
      <c r="V36" s="2">
        <f t="shared" si="6"/>
        <v>62</v>
      </c>
      <c r="W36" s="2">
        <f t="shared" si="7"/>
        <v>38</v>
      </c>
      <c r="X36" s="2">
        <f t="shared" si="8"/>
        <v>4</v>
      </c>
    </row>
    <row r="37">
      <c r="A37" s="1" t="s">
        <v>69</v>
      </c>
      <c r="B37" s="1" t="s">
        <v>34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1" t="s">
        <v>26</v>
      </c>
      <c r="J37" s="1" t="s">
        <v>26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2">
        <f t="shared" si="1"/>
        <v>285491</v>
      </c>
      <c r="R37" s="2">
        <f t="shared" si="2"/>
        <v>204177</v>
      </c>
      <c r="S37" s="2">
        <f t="shared" si="3"/>
        <v>28.48200226</v>
      </c>
      <c r="T37" s="2">
        <f t="shared" si="4"/>
        <v>1</v>
      </c>
      <c r="U37" s="2">
        <f t="shared" si="5"/>
        <v>99.30532</v>
      </c>
      <c r="V37" s="2">
        <f t="shared" si="6"/>
        <v>72</v>
      </c>
      <c r="W37" s="2">
        <f t="shared" si="7"/>
        <v>28</v>
      </c>
      <c r="X37" s="2">
        <f t="shared" si="8"/>
        <v>4</v>
      </c>
    </row>
    <row r="38">
      <c r="A38" s="1" t="s">
        <v>70</v>
      </c>
      <c r="B38" s="1" t="s">
        <v>34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26</v>
      </c>
      <c r="Q38" s="2">
        <f t="shared" si="1"/>
        <v>287371</v>
      </c>
      <c r="R38" s="2">
        <f t="shared" si="2"/>
        <v>89634</v>
      </c>
      <c r="S38" s="2">
        <f t="shared" si="3"/>
        <v>68.80900002</v>
      </c>
      <c r="T38" s="2">
        <f t="shared" si="4"/>
        <v>1</v>
      </c>
      <c r="U38" s="2">
        <f t="shared" si="5"/>
        <v>98.51445</v>
      </c>
      <c r="V38" s="2">
        <f t="shared" si="6"/>
        <v>31</v>
      </c>
      <c r="W38" s="2">
        <f t="shared" si="7"/>
        <v>69</v>
      </c>
      <c r="X38" s="2">
        <f t="shared" si="8"/>
        <v>4</v>
      </c>
    </row>
    <row r="39">
      <c r="A39" s="1" t="s">
        <v>71</v>
      </c>
      <c r="B39" s="1" t="s">
        <v>26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26</v>
      </c>
      <c r="P39" s="1" t="s">
        <v>26</v>
      </c>
      <c r="Q39" s="2">
        <f t="shared" si="1"/>
        <v>298682</v>
      </c>
      <c r="R39" s="2">
        <f t="shared" si="2"/>
        <v>256329</v>
      </c>
      <c r="S39" s="2">
        <f t="shared" si="3"/>
        <v>14.18000031</v>
      </c>
      <c r="T39" s="2">
        <f t="shared" si="4"/>
        <v>1</v>
      </c>
      <c r="U39" s="2">
        <f t="shared" si="5"/>
        <v>93.78222</v>
      </c>
      <c r="V39" s="2">
        <f t="shared" si="6"/>
        <v>86</v>
      </c>
      <c r="W39" s="2">
        <f t="shared" si="7"/>
        <v>14</v>
      </c>
      <c r="X39" s="2">
        <f t="shared" si="8"/>
        <v>0</v>
      </c>
    </row>
    <row r="40">
      <c r="A40" s="1" t="s">
        <v>72</v>
      </c>
      <c r="B40" s="1" t="s">
        <v>60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1">
        <v>88.39720123</v>
      </c>
      <c r="J40" s="1">
        <v>1.255132675</v>
      </c>
      <c r="K40" s="1">
        <v>0.0</v>
      </c>
      <c r="L40" s="1">
        <v>10.3476661</v>
      </c>
      <c r="M40" s="1">
        <v>99.5</v>
      </c>
      <c r="N40" s="1">
        <v>0.5</v>
      </c>
      <c r="O40" s="1">
        <v>0.0</v>
      </c>
      <c r="P40" s="1">
        <v>0.0</v>
      </c>
      <c r="Q40" s="2">
        <f t="shared" si="1"/>
        <v>307150</v>
      </c>
      <c r="R40" s="2">
        <f t="shared" si="2"/>
        <v>78400</v>
      </c>
      <c r="S40" s="2">
        <f t="shared" si="3"/>
        <v>74.47499847</v>
      </c>
      <c r="T40" s="2">
        <f t="shared" si="4"/>
        <v>1</v>
      </c>
      <c r="U40" s="2">
        <f t="shared" si="5"/>
        <v>91.23119</v>
      </c>
      <c r="V40" s="2">
        <f t="shared" si="6"/>
        <v>26</v>
      </c>
      <c r="W40" s="2">
        <f t="shared" si="7"/>
        <v>74</v>
      </c>
      <c r="X40" s="2">
        <f t="shared" si="8"/>
        <v>2</v>
      </c>
    </row>
    <row r="41">
      <c r="A41" s="1" t="s">
        <v>73</v>
      </c>
      <c r="B41" s="1" t="s">
        <v>34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>
        <f t="shared" si="1"/>
        <v>341250</v>
      </c>
      <c r="R41" s="2">
        <f t="shared" si="2"/>
        <v>320427</v>
      </c>
      <c r="S41" s="2">
        <f t="shared" si="3"/>
        <v>6.102005</v>
      </c>
      <c r="T41" s="2">
        <f t="shared" si="4"/>
        <v>1</v>
      </c>
      <c r="U41" s="2">
        <f t="shared" si="5"/>
        <v>100</v>
      </c>
      <c r="V41" s="2">
        <f t="shared" si="6"/>
        <v>94</v>
      </c>
      <c r="W41" s="2">
        <f t="shared" si="7"/>
        <v>6</v>
      </c>
      <c r="X41" s="2">
        <f t="shared" si="8"/>
        <v>4</v>
      </c>
    </row>
    <row r="42">
      <c r="A42" s="1" t="s">
        <v>80</v>
      </c>
      <c r="B42" s="1" t="s">
        <v>26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26</v>
      </c>
      <c r="Q42" s="2">
        <f t="shared" si="1"/>
        <v>375265</v>
      </c>
      <c r="R42" s="2">
        <f t="shared" si="2"/>
        <v>334511</v>
      </c>
      <c r="S42" s="2">
        <f t="shared" si="3"/>
        <v>10.86000061</v>
      </c>
      <c r="T42" s="2">
        <f t="shared" si="4"/>
        <v>1</v>
      </c>
      <c r="U42" s="2">
        <f t="shared" si="5"/>
        <v>99.84197</v>
      </c>
      <c r="V42" s="2">
        <f t="shared" si="6"/>
        <v>89</v>
      </c>
      <c r="W42" s="2">
        <f t="shared" si="7"/>
        <v>11</v>
      </c>
      <c r="X42" s="2">
        <f t="shared" si="8"/>
        <v>0</v>
      </c>
    </row>
    <row r="43">
      <c r="A43" s="1" t="s">
        <v>85</v>
      </c>
      <c r="B43" s="1" t="s">
        <v>37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>
        <f t="shared" si="1"/>
        <v>397621</v>
      </c>
      <c r="R43" s="2">
        <f t="shared" si="2"/>
        <v>183005</v>
      </c>
      <c r="S43" s="2">
        <f t="shared" si="3"/>
        <v>53.97499847</v>
      </c>
      <c r="T43" s="2">
        <f t="shared" si="4"/>
        <v>1</v>
      </c>
      <c r="U43" s="2">
        <f t="shared" si="5"/>
        <v>98.40195</v>
      </c>
      <c r="V43" s="2">
        <f t="shared" si="6"/>
        <v>46</v>
      </c>
      <c r="W43" s="2">
        <f t="shared" si="7"/>
        <v>54</v>
      </c>
      <c r="X43" s="2">
        <f t="shared" si="8"/>
        <v>3</v>
      </c>
    </row>
    <row r="44">
      <c r="A44" s="1" t="s">
        <v>87</v>
      </c>
      <c r="B44" s="1" t="s">
        <v>26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1" t="s">
        <v>26</v>
      </c>
      <c r="J44" s="1" t="s">
        <v>26</v>
      </c>
      <c r="K44" s="1" t="s">
        <v>26</v>
      </c>
      <c r="L44" s="1" t="s">
        <v>26</v>
      </c>
      <c r="M44" s="1" t="s">
        <v>26</v>
      </c>
      <c r="N44" s="1" t="s">
        <v>26</v>
      </c>
      <c r="O44" s="1" t="s">
        <v>26</v>
      </c>
      <c r="P44" s="1" t="s">
        <v>26</v>
      </c>
      <c r="Q44" s="2">
        <f t="shared" si="1"/>
        <v>400127</v>
      </c>
      <c r="R44" s="2">
        <f t="shared" si="2"/>
        <v>394121</v>
      </c>
      <c r="S44" s="2">
        <f t="shared" si="3"/>
        <v>1.50100708</v>
      </c>
      <c r="T44" s="2">
        <f t="shared" si="4"/>
        <v>1</v>
      </c>
      <c r="U44" s="2">
        <f t="shared" si="5"/>
        <v>99.80313</v>
      </c>
      <c r="V44" s="2">
        <f t="shared" si="6"/>
        <v>98</v>
      </c>
      <c r="W44" s="2">
        <f t="shared" si="7"/>
        <v>2</v>
      </c>
      <c r="X44" s="2">
        <f t="shared" si="8"/>
        <v>0</v>
      </c>
    </row>
    <row r="45">
      <c r="A45" s="1" t="s">
        <v>97</v>
      </c>
      <c r="B45" s="1" t="s">
        <v>34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1" t="s">
        <v>26</v>
      </c>
      <c r="J45" s="1" t="s">
        <v>26</v>
      </c>
      <c r="K45" s="1" t="s">
        <v>26</v>
      </c>
      <c r="L45" s="1" t="s">
        <v>26</v>
      </c>
      <c r="M45" s="1">
        <v>99.65</v>
      </c>
      <c r="N45" s="1">
        <v>0.0</v>
      </c>
      <c r="O45" s="1">
        <v>0.35</v>
      </c>
      <c r="P45" s="1">
        <v>0.0</v>
      </c>
      <c r="Q45" s="2">
        <f t="shared" si="1"/>
        <v>437483</v>
      </c>
      <c r="R45" s="2">
        <f t="shared" si="2"/>
        <v>342330</v>
      </c>
      <c r="S45" s="2">
        <f t="shared" si="3"/>
        <v>21.74999237</v>
      </c>
      <c r="T45" s="2">
        <f t="shared" si="4"/>
        <v>1</v>
      </c>
      <c r="U45" s="2">
        <f t="shared" si="5"/>
        <v>99.90004</v>
      </c>
      <c r="V45" s="2">
        <f t="shared" si="6"/>
        <v>78</v>
      </c>
      <c r="W45" s="2">
        <f t="shared" si="7"/>
        <v>22</v>
      </c>
      <c r="X45" s="2">
        <f t="shared" si="8"/>
        <v>4</v>
      </c>
    </row>
    <row r="46">
      <c r="A46" s="1" t="s">
        <v>89</v>
      </c>
      <c r="B46" s="1" t="s">
        <v>34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1">
        <v>100.0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  <c r="Q46" s="2">
        <f t="shared" si="1"/>
        <v>441539</v>
      </c>
      <c r="R46" s="2">
        <f t="shared" si="2"/>
        <v>418332</v>
      </c>
      <c r="S46" s="2">
        <f t="shared" si="3"/>
        <v>5.2559967</v>
      </c>
      <c r="T46" s="2">
        <f t="shared" si="4"/>
        <v>1</v>
      </c>
      <c r="U46" s="2">
        <f t="shared" si="5"/>
        <v>100</v>
      </c>
      <c r="V46" s="2">
        <f t="shared" si="6"/>
        <v>95</v>
      </c>
      <c r="W46" s="2">
        <f t="shared" si="7"/>
        <v>5</v>
      </c>
      <c r="X46" s="2">
        <f t="shared" si="8"/>
        <v>4</v>
      </c>
    </row>
    <row r="47">
      <c r="A47" s="1" t="s">
        <v>113</v>
      </c>
      <c r="B47" s="1" t="s">
        <v>37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  <c r="Q47" s="2">
        <f t="shared" si="1"/>
        <v>540542</v>
      </c>
      <c r="R47" s="2">
        <f t="shared" si="2"/>
        <v>219833</v>
      </c>
      <c r="S47" s="2">
        <f t="shared" si="3"/>
        <v>59.33100128</v>
      </c>
      <c r="T47" s="2">
        <f t="shared" si="4"/>
        <v>1</v>
      </c>
      <c r="U47" s="2">
        <f t="shared" si="5"/>
        <v>99.54444</v>
      </c>
      <c r="V47" s="2">
        <f t="shared" si="6"/>
        <v>41</v>
      </c>
      <c r="W47" s="2">
        <f t="shared" si="7"/>
        <v>59</v>
      </c>
      <c r="X47" s="2">
        <f t="shared" si="8"/>
        <v>3</v>
      </c>
    </row>
    <row r="48">
      <c r="A48" s="1" t="s">
        <v>123</v>
      </c>
      <c r="B48" s="1" t="s">
        <v>60</v>
      </c>
      <c r="C48" s="1">
        <v>555.9879761</v>
      </c>
      <c r="D48" s="1">
        <v>66.65200043</v>
      </c>
      <c r="E48" s="1">
        <v>88.76960642</v>
      </c>
      <c r="F48" s="1">
        <v>7.904150846</v>
      </c>
      <c r="G48" s="1">
        <v>3.209147716</v>
      </c>
      <c r="H48" s="1">
        <v>0.1170950144</v>
      </c>
      <c r="I48" s="1">
        <v>80.11452544</v>
      </c>
      <c r="J48" s="1">
        <v>9.911127022</v>
      </c>
      <c r="K48" s="1">
        <v>9.623217003</v>
      </c>
      <c r="L48" s="1">
        <v>0.3511305397</v>
      </c>
      <c r="M48" s="1">
        <v>93.1</v>
      </c>
      <c r="N48" s="1">
        <v>6.9</v>
      </c>
      <c r="O48" s="1">
        <v>0.0</v>
      </c>
      <c r="P48" s="1">
        <v>0.0</v>
      </c>
      <c r="Q48" s="2">
        <f t="shared" si="1"/>
        <v>555988</v>
      </c>
      <c r="R48" s="2">
        <f t="shared" si="2"/>
        <v>370577</v>
      </c>
      <c r="S48" s="2">
        <f t="shared" si="3"/>
        <v>33.34799957</v>
      </c>
      <c r="T48" s="2">
        <f t="shared" si="4"/>
        <v>1</v>
      </c>
      <c r="U48" s="2">
        <f t="shared" si="5"/>
        <v>88.76961</v>
      </c>
      <c r="V48" s="2">
        <f t="shared" si="6"/>
        <v>67</v>
      </c>
      <c r="W48" s="2">
        <f t="shared" si="7"/>
        <v>33</v>
      </c>
      <c r="X48" s="2">
        <f t="shared" si="8"/>
        <v>2</v>
      </c>
    </row>
    <row r="49">
      <c r="A49" s="1" t="s">
        <v>128</v>
      </c>
      <c r="B49" s="1" t="s">
        <v>37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1">
        <v>96.57441263</v>
      </c>
      <c r="J49" s="1">
        <v>1.60029586</v>
      </c>
      <c r="K49" s="1">
        <v>0.1598017947</v>
      </c>
      <c r="L49" s="1">
        <v>1.66548972</v>
      </c>
      <c r="M49" s="1">
        <v>98.71385387</v>
      </c>
      <c r="N49" s="1">
        <v>0.7944652371</v>
      </c>
      <c r="O49" s="1">
        <v>0.4916808925</v>
      </c>
      <c r="P49" s="1">
        <v>0.0</v>
      </c>
      <c r="Q49" s="2">
        <f t="shared" si="1"/>
        <v>586634</v>
      </c>
      <c r="R49" s="2">
        <f t="shared" si="2"/>
        <v>388053</v>
      </c>
      <c r="S49" s="2">
        <f t="shared" si="3"/>
        <v>33.85099792</v>
      </c>
      <c r="T49" s="2">
        <f t="shared" si="4"/>
        <v>1</v>
      </c>
      <c r="U49" s="2">
        <f t="shared" si="5"/>
        <v>97.98963</v>
      </c>
      <c r="V49" s="2">
        <f t="shared" si="6"/>
        <v>66</v>
      </c>
      <c r="W49" s="2">
        <f t="shared" si="7"/>
        <v>34</v>
      </c>
      <c r="X49" s="2">
        <f t="shared" si="8"/>
        <v>3</v>
      </c>
    </row>
    <row r="50">
      <c r="A50" s="1" t="s">
        <v>96</v>
      </c>
      <c r="B50" s="1" t="s">
        <v>34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1">
        <v>98.5952381</v>
      </c>
      <c r="J50" s="1">
        <v>0.0</v>
      </c>
      <c r="K50" s="1">
        <v>1.404761905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  <c r="Q50" s="2">
        <f t="shared" si="1"/>
        <v>625976</v>
      </c>
      <c r="R50" s="2">
        <f t="shared" si="2"/>
        <v>572474</v>
      </c>
      <c r="S50" s="2">
        <f t="shared" si="3"/>
        <v>8.5470047</v>
      </c>
      <c r="T50" s="2">
        <f t="shared" si="4"/>
        <v>1</v>
      </c>
      <c r="U50" s="2">
        <f t="shared" si="5"/>
        <v>99.87993</v>
      </c>
      <c r="V50" s="2">
        <f t="shared" si="6"/>
        <v>91</v>
      </c>
      <c r="W50" s="2">
        <f t="shared" si="7"/>
        <v>9</v>
      </c>
      <c r="X50" s="2">
        <f t="shared" si="8"/>
        <v>4</v>
      </c>
    </row>
    <row r="51">
      <c r="A51" s="1" t="s">
        <v>140</v>
      </c>
      <c r="B51" s="1" t="s">
        <v>37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1">
        <v>98.16188754</v>
      </c>
      <c r="J51" s="1">
        <v>0.0</v>
      </c>
      <c r="K51" s="1">
        <v>1.821833386</v>
      </c>
      <c r="L51" s="1">
        <v>0.01627906977</v>
      </c>
      <c r="M51" s="1">
        <v>99.19173959</v>
      </c>
      <c r="N51" s="1">
        <v>0.8082604128</v>
      </c>
      <c r="O51" s="1">
        <v>0.0</v>
      </c>
      <c r="P51" s="1">
        <v>0.0</v>
      </c>
      <c r="Q51" s="2">
        <f t="shared" si="1"/>
        <v>628062</v>
      </c>
      <c r="R51" s="2">
        <f t="shared" si="2"/>
        <v>423867</v>
      </c>
      <c r="S51" s="2">
        <f t="shared" si="3"/>
        <v>32.51199341</v>
      </c>
      <c r="T51" s="2">
        <f t="shared" si="4"/>
        <v>1</v>
      </c>
      <c r="U51" s="2">
        <f t="shared" si="5"/>
        <v>98.85692</v>
      </c>
      <c r="V51" s="2">
        <f t="shared" si="6"/>
        <v>67</v>
      </c>
      <c r="W51" s="2">
        <f t="shared" si="7"/>
        <v>33</v>
      </c>
      <c r="X51" s="2">
        <f t="shared" si="8"/>
        <v>3</v>
      </c>
    </row>
    <row r="52">
      <c r="A52" s="1" t="s">
        <v>79</v>
      </c>
      <c r="B52" s="1" t="s">
        <v>34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26</v>
      </c>
      <c r="J52" s="1" t="s">
        <v>26</v>
      </c>
      <c r="K52" s="1" t="s">
        <v>26</v>
      </c>
      <c r="L52" s="1" t="s">
        <v>26</v>
      </c>
      <c r="M52" s="1">
        <v>100.0</v>
      </c>
      <c r="N52" s="1">
        <v>0.0</v>
      </c>
      <c r="O52" s="1">
        <v>0.0</v>
      </c>
      <c r="P52" s="1">
        <v>0.0</v>
      </c>
      <c r="Q52" s="2">
        <f t="shared" si="1"/>
        <v>649342</v>
      </c>
      <c r="R52" s="2">
        <f t="shared" si="2"/>
        <v>649342</v>
      </c>
      <c r="S52" s="2">
        <f t="shared" si="3"/>
        <v>0</v>
      </c>
      <c r="T52" s="2">
        <f t="shared" si="4"/>
        <v>1</v>
      </c>
      <c r="U52" s="2">
        <f t="shared" si="5"/>
        <v>100</v>
      </c>
      <c r="V52" s="2">
        <f t="shared" si="6"/>
        <v>100</v>
      </c>
      <c r="W52" s="2">
        <f t="shared" si="7"/>
        <v>0</v>
      </c>
      <c r="X52" s="2">
        <f t="shared" si="8"/>
        <v>4</v>
      </c>
    </row>
    <row r="53">
      <c r="A53" s="1" t="s">
        <v>156</v>
      </c>
      <c r="B53" s="1" t="s">
        <v>60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1">
        <v>59.40526749</v>
      </c>
      <c r="J53" s="1">
        <v>6.528523649</v>
      </c>
      <c r="K53" s="1">
        <v>26.955911</v>
      </c>
      <c r="L53" s="1">
        <v>7.110297857</v>
      </c>
      <c r="M53" s="1">
        <v>91.41077689</v>
      </c>
      <c r="N53" s="1">
        <v>3.557120425</v>
      </c>
      <c r="O53" s="1">
        <v>3.899286137</v>
      </c>
      <c r="P53" s="1">
        <v>1.132816553</v>
      </c>
      <c r="Q53" s="2">
        <f t="shared" si="1"/>
        <v>686878</v>
      </c>
      <c r="R53" s="2">
        <f t="shared" si="2"/>
        <v>169453</v>
      </c>
      <c r="S53" s="2">
        <f t="shared" si="3"/>
        <v>75.32999992</v>
      </c>
      <c r="T53" s="2">
        <f t="shared" si="4"/>
        <v>1</v>
      </c>
      <c r="U53" s="2">
        <f t="shared" si="5"/>
        <v>67.30103</v>
      </c>
      <c r="V53" s="2">
        <f t="shared" si="6"/>
        <v>25</v>
      </c>
      <c r="W53" s="2">
        <f t="shared" si="7"/>
        <v>75</v>
      </c>
      <c r="X53" s="2">
        <f t="shared" si="8"/>
        <v>2</v>
      </c>
    </row>
    <row r="54">
      <c r="A54" s="1" t="s">
        <v>162</v>
      </c>
      <c r="B54" s="1" t="s">
        <v>60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1">
        <v>96.73119365</v>
      </c>
      <c r="J54" s="1">
        <v>3.268806351</v>
      </c>
      <c r="K54" s="1">
        <v>0.0</v>
      </c>
      <c r="L54" s="1">
        <v>0.0</v>
      </c>
      <c r="M54" s="1">
        <v>98.10662849</v>
      </c>
      <c r="N54" s="1">
        <v>1.3591415</v>
      </c>
      <c r="O54" s="1">
        <v>0.4169208475</v>
      </c>
      <c r="P54" s="1">
        <v>0.1173091586</v>
      </c>
      <c r="Q54" s="2">
        <f t="shared" si="1"/>
        <v>771612</v>
      </c>
      <c r="R54" s="2">
        <f t="shared" si="2"/>
        <v>326515</v>
      </c>
      <c r="S54" s="2">
        <f t="shared" si="3"/>
        <v>57.68400192</v>
      </c>
      <c r="T54" s="2">
        <f t="shared" si="4"/>
        <v>1</v>
      </c>
      <c r="U54" s="2">
        <f t="shared" si="5"/>
        <v>97.31322</v>
      </c>
      <c r="V54" s="2">
        <f t="shared" si="6"/>
        <v>42</v>
      </c>
      <c r="W54" s="2">
        <f t="shared" si="7"/>
        <v>58</v>
      </c>
      <c r="X54" s="2">
        <f t="shared" si="8"/>
        <v>2</v>
      </c>
    </row>
    <row r="55">
      <c r="A55" s="1" t="s">
        <v>168</v>
      </c>
      <c r="B55" s="1" t="s">
        <v>37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1">
        <v>93.9284905</v>
      </c>
      <c r="J55" s="1">
        <v>1.646193862</v>
      </c>
      <c r="K55" s="1">
        <v>1.561274833</v>
      </c>
      <c r="L55" s="1">
        <v>2.864040809</v>
      </c>
      <c r="M55" s="1">
        <v>100.0</v>
      </c>
      <c r="N55" s="1">
        <v>0.0</v>
      </c>
      <c r="O55" s="1">
        <v>0.0</v>
      </c>
      <c r="P55" s="1">
        <v>0.0</v>
      </c>
      <c r="Q55" s="2">
        <f t="shared" si="1"/>
        <v>786559</v>
      </c>
      <c r="R55" s="2">
        <f t="shared" si="2"/>
        <v>210688</v>
      </c>
      <c r="S55" s="2">
        <f t="shared" si="3"/>
        <v>73.2140007</v>
      </c>
      <c r="T55" s="2">
        <f t="shared" si="4"/>
        <v>1</v>
      </c>
      <c r="U55" s="2">
        <f t="shared" si="5"/>
        <v>95.55481</v>
      </c>
      <c r="V55" s="2">
        <f t="shared" si="6"/>
        <v>27</v>
      </c>
      <c r="W55" s="2">
        <f t="shared" si="7"/>
        <v>73</v>
      </c>
      <c r="X55" s="2">
        <f t="shared" si="8"/>
        <v>3</v>
      </c>
    </row>
    <row r="56">
      <c r="A56" s="1" t="s">
        <v>82</v>
      </c>
      <c r="B56" s="1" t="s">
        <v>26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1" t="s">
        <v>26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26</v>
      </c>
      <c r="O56" s="1" t="s">
        <v>26</v>
      </c>
      <c r="P56" s="1" t="s">
        <v>26</v>
      </c>
      <c r="Q56" s="2">
        <f t="shared" si="1"/>
        <v>895308</v>
      </c>
      <c r="R56" s="2">
        <f t="shared" si="2"/>
        <v>892255</v>
      </c>
      <c r="S56" s="2">
        <f t="shared" si="3"/>
        <v>0.34099579</v>
      </c>
      <c r="T56" s="2">
        <f t="shared" si="4"/>
        <v>1</v>
      </c>
      <c r="U56" s="2">
        <f t="shared" si="5"/>
        <v>100</v>
      </c>
      <c r="V56" s="2">
        <f t="shared" si="6"/>
        <v>100</v>
      </c>
      <c r="W56" s="2">
        <f t="shared" si="7"/>
        <v>0</v>
      </c>
      <c r="X56" s="2">
        <f t="shared" si="8"/>
        <v>0</v>
      </c>
    </row>
    <row r="57">
      <c r="A57" s="1" t="s">
        <v>182</v>
      </c>
      <c r="B57" s="1" t="s">
        <v>37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1">
        <v>89.08802405</v>
      </c>
      <c r="J57" s="1">
        <v>0.0</v>
      </c>
      <c r="K57" s="1">
        <v>5.759897938</v>
      </c>
      <c r="L57" s="1">
        <v>5.152078012</v>
      </c>
      <c r="M57" s="1">
        <v>98.19424406</v>
      </c>
      <c r="N57" s="1">
        <v>0.0</v>
      </c>
      <c r="O57" s="1">
        <v>1.495409344</v>
      </c>
      <c r="P57" s="1">
        <v>0.3103465922</v>
      </c>
      <c r="Q57" s="2">
        <f t="shared" si="1"/>
        <v>896444</v>
      </c>
      <c r="R57" s="2">
        <f t="shared" si="2"/>
        <v>513187</v>
      </c>
      <c r="S57" s="2">
        <f t="shared" si="3"/>
        <v>42.75299454</v>
      </c>
      <c r="T57" s="2">
        <f t="shared" si="4"/>
        <v>1</v>
      </c>
      <c r="U57" s="2">
        <f t="shared" si="5"/>
        <v>94.30107</v>
      </c>
      <c r="V57" s="2">
        <f t="shared" si="6"/>
        <v>57</v>
      </c>
      <c r="W57" s="2">
        <f t="shared" si="7"/>
        <v>43</v>
      </c>
      <c r="X57" s="2">
        <f t="shared" si="8"/>
        <v>3</v>
      </c>
    </row>
    <row r="58">
      <c r="A58" s="1" t="s">
        <v>129</v>
      </c>
      <c r="B58" s="1" t="s">
        <v>60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1">
        <v>47.28073293</v>
      </c>
      <c r="J58" s="1">
        <v>12.06161014</v>
      </c>
      <c r="K58" s="1">
        <v>30.73550468</v>
      </c>
      <c r="L58" s="1">
        <v>9.922152249</v>
      </c>
      <c r="M58" s="1">
        <v>84.13501493</v>
      </c>
      <c r="N58" s="1">
        <v>15.51511107</v>
      </c>
      <c r="O58" s="1">
        <v>0.3498740029</v>
      </c>
      <c r="P58" s="1">
        <v>0.0</v>
      </c>
      <c r="Q58" s="2">
        <f t="shared" si="1"/>
        <v>988002</v>
      </c>
      <c r="R58" s="2">
        <f t="shared" si="2"/>
        <v>771254</v>
      </c>
      <c r="S58" s="2">
        <f t="shared" si="3"/>
        <v>21.93800354</v>
      </c>
      <c r="T58" s="2">
        <f t="shared" si="4"/>
        <v>1</v>
      </c>
      <c r="U58" s="2">
        <f t="shared" si="5"/>
        <v>76.04992</v>
      </c>
      <c r="V58" s="2">
        <f t="shared" si="6"/>
        <v>78</v>
      </c>
      <c r="W58" s="2">
        <f t="shared" si="7"/>
        <v>22</v>
      </c>
      <c r="X58" s="2">
        <f t="shared" si="8"/>
        <v>2</v>
      </c>
    </row>
    <row r="59">
      <c r="A59" s="1" t="s">
        <v>196</v>
      </c>
      <c r="B59" s="1" t="s">
        <v>60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1">
        <v>62.46644874</v>
      </c>
      <c r="J59" s="1">
        <v>12.29969513</v>
      </c>
      <c r="K59" s="1">
        <v>12.45046093</v>
      </c>
      <c r="L59" s="1">
        <v>12.78339519</v>
      </c>
      <c r="M59" s="1">
        <v>96.74976305</v>
      </c>
      <c r="N59" s="1">
        <v>0.7460644731</v>
      </c>
      <c r="O59" s="1">
        <v>1.632164244</v>
      </c>
      <c r="P59" s="1">
        <v>0.8720082294</v>
      </c>
      <c r="Q59" s="2">
        <f t="shared" si="1"/>
        <v>1160164</v>
      </c>
      <c r="R59" s="2">
        <f t="shared" si="2"/>
        <v>280423</v>
      </c>
      <c r="S59" s="2">
        <f t="shared" si="3"/>
        <v>75.82899857</v>
      </c>
      <c r="T59" s="2">
        <f t="shared" si="4"/>
        <v>2</v>
      </c>
      <c r="U59" s="2">
        <f t="shared" si="5"/>
        <v>70.75307</v>
      </c>
      <c r="V59" s="2">
        <f t="shared" si="6"/>
        <v>24</v>
      </c>
      <c r="W59" s="2">
        <f t="shared" si="7"/>
        <v>76</v>
      </c>
      <c r="X59" s="2">
        <f t="shared" si="8"/>
        <v>2</v>
      </c>
    </row>
    <row r="60">
      <c r="A60" s="1" t="s">
        <v>159</v>
      </c>
      <c r="B60" s="1" t="s">
        <v>34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1">
        <v>99.84576172</v>
      </c>
      <c r="J60" s="1">
        <v>0.0</v>
      </c>
      <c r="K60" s="1">
        <v>0.1542382836</v>
      </c>
      <c r="L60" s="1">
        <v>0.0</v>
      </c>
      <c r="M60" s="1">
        <v>99.72515812</v>
      </c>
      <c r="N60" s="1">
        <v>0.0</v>
      </c>
      <c r="O60" s="1">
        <v>0.2748418825</v>
      </c>
      <c r="P60" s="1">
        <v>0.0</v>
      </c>
      <c r="Q60" s="2">
        <f t="shared" si="1"/>
        <v>1207361</v>
      </c>
      <c r="R60" s="2">
        <f t="shared" si="2"/>
        <v>806771</v>
      </c>
      <c r="S60" s="2">
        <f t="shared" si="3"/>
        <v>33.17900085</v>
      </c>
      <c r="T60" s="2">
        <f t="shared" si="4"/>
        <v>2</v>
      </c>
      <c r="U60" s="2">
        <f t="shared" si="5"/>
        <v>99.76517</v>
      </c>
      <c r="V60" s="2">
        <f t="shared" si="6"/>
        <v>67</v>
      </c>
      <c r="W60" s="2">
        <f t="shared" si="7"/>
        <v>33</v>
      </c>
      <c r="X60" s="2">
        <f t="shared" si="8"/>
        <v>4</v>
      </c>
    </row>
    <row r="61">
      <c r="A61" s="1" t="s">
        <v>209</v>
      </c>
      <c r="B61" s="1" t="s">
        <v>37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1">
        <v>99.82768234</v>
      </c>
      <c r="J61" s="1">
        <v>0.0</v>
      </c>
      <c r="K61" s="1">
        <v>0.1723176618</v>
      </c>
      <c r="L61" s="1">
        <v>0.0</v>
      </c>
      <c r="M61" s="1">
        <v>99.92231522</v>
      </c>
      <c r="N61" s="1">
        <v>0.0</v>
      </c>
      <c r="O61" s="1">
        <v>0.07768478119</v>
      </c>
      <c r="P61" s="1">
        <v>0.0</v>
      </c>
      <c r="Q61" s="2">
        <f t="shared" si="1"/>
        <v>1271767</v>
      </c>
      <c r="R61" s="2">
        <f t="shared" si="2"/>
        <v>518372</v>
      </c>
      <c r="S61" s="2">
        <f t="shared" si="3"/>
        <v>59.24000168</v>
      </c>
      <c r="T61" s="2">
        <f t="shared" si="4"/>
        <v>2</v>
      </c>
      <c r="U61" s="2">
        <f t="shared" si="5"/>
        <v>99.86625</v>
      </c>
      <c r="V61" s="2">
        <f t="shared" si="6"/>
        <v>41</v>
      </c>
      <c r="W61" s="2">
        <f t="shared" si="7"/>
        <v>59</v>
      </c>
      <c r="X61" s="2">
        <f t="shared" si="8"/>
        <v>3</v>
      </c>
    </row>
    <row r="62">
      <c r="A62" s="1" t="s">
        <v>215</v>
      </c>
      <c r="B62" s="1" t="s">
        <v>60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1">
        <v>80.48779562</v>
      </c>
      <c r="J62" s="1">
        <v>2.049364675</v>
      </c>
      <c r="K62" s="1">
        <v>11.26233968</v>
      </c>
      <c r="L62" s="1">
        <v>6.200500018</v>
      </c>
      <c r="M62" s="1">
        <v>96.47695792</v>
      </c>
      <c r="N62" s="1">
        <v>1.527338152</v>
      </c>
      <c r="O62" s="1">
        <v>1.995703929</v>
      </c>
      <c r="P62" s="1">
        <v>0.0</v>
      </c>
      <c r="Q62" s="2">
        <f t="shared" si="1"/>
        <v>1318442</v>
      </c>
      <c r="R62" s="2">
        <f t="shared" si="2"/>
        <v>412936</v>
      </c>
      <c r="S62" s="2">
        <f t="shared" si="3"/>
        <v>68.68000031</v>
      </c>
      <c r="T62" s="2">
        <f t="shared" si="4"/>
        <v>2</v>
      </c>
      <c r="U62" s="2">
        <f t="shared" si="5"/>
        <v>85.4956</v>
      </c>
      <c r="V62" s="2">
        <f t="shared" si="6"/>
        <v>31</v>
      </c>
      <c r="W62" s="2">
        <f t="shared" si="7"/>
        <v>69</v>
      </c>
      <c r="X62" s="2">
        <f t="shared" si="8"/>
        <v>2</v>
      </c>
    </row>
    <row r="63">
      <c r="A63" s="1" t="s">
        <v>151</v>
      </c>
      <c r="B63" s="1" t="s">
        <v>34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1" t="s">
        <v>26</v>
      </c>
      <c r="J63" s="1" t="s">
        <v>26</v>
      </c>
      <c r="K63" s="1" t="s">
        <v>26</v>
      </c>
      <c r="L63" s="1" t="s">
        <v>26</v>
      </c>
      <c r="M63" s="1">
        <v>99.98545421</v>
      </c>
      <c r="N63" s="1">
        <v>0.0</v>
      </c>
      <c r="O63" s="1">
        <v>0.01454579307</v>
      </c>
      <c r="P63" s="1">
        <v>0.0</v>
      </c>
      <c r="Q63" s="2">
        <f t="shared" si="1"/>
        <v>1326539</v>
      </c>
      <c r="R63" s="2">
        <f t="shared" si="2"/>
        <v>918350</v>
      </c>
      <c r="S63" s="2">
        <f t="shared" si="3"/>
        <v>30.77099609</v>
      </c>
      <c r="T63" s="2">
        <f t="shared" si="4"/>
        <v>2</v>
      </c>
      <c r="U63" s="2">
        <f t="shared" si="5"/>
        <v>99.59078</v>
      </c>
      <c r="V63" s="2">
        <f t="shared" si="6"/>
        <v>69</v>
      </c>
      <c r="W63" s="2">
        <f t="shared" si="7"/>
        <v>31</v>
      </c>
      <c r="X63" s="2">
        <f t="shared" si="8"/>
        <v>4</v>
      </c>
    </row>
    <row r="64">
      <c r="A64" s="1" t="s">
        <v>194</v>
      </c>
      <c r="B64" s="1" t="s">
        <v>34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1" t="s">
        <v>26</v>
      </c>
      <c r="J64" s="1" t="s">
        <v>26</v>
      </c>
      <c r="K64" s="1" t="s">
        <v>26</v>
      </c>
      <c r="L64" s="1" t="s">
        <v>26</v>
      </c>
      <c r="M64" s="1" t="s">
        <v>26</v>
      </c>
      <c r="N64" s="1" t="s">
        <v>26</v>
      </c>
      <c r="O64" s="1" t="s">
        <v>26</v>
      </c>
      <c r="P64" s="1" t="s">
        <v>26</v>
      </c>
      <c r="Q64" s="2">
        <f t="shared" si="1"/>
        <v>1399491</v>
      </c>
      <c r="R64" s="2">
        <f t="shared" si="2"/>
        <v>744725</v>
      </c>
      <c r="S64" s="2">
        <f t="shared" si="3"/>
        <v>46.7859993</v>
      </c>
      <c r="T64" s="2">
        <f t="shared" si="4"/>
        <v>2</v>
      </c>
      <c r="U64" s="2">
        <f t="shared" si="5"/>
        <v>98.87517</v>
      </c>
      <c r="V64" s="2">
        <f t="shared" si="6"/>
        <v>53</v>
      </c>
      <c r="W64" s="2">
        <f t="shared" si="7"/>
        <v>47</v>
      </c>
      <c r="X64" s="2">
        <f t="shared" si="8"/>
        <v>4</v>
      </c>
    </row>
    <row r="65">
      <c r="A65" s="1" t="s">
        <v>98</v>
      </c>
      <c r="B65" s="1" t="s">
        <v>34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1" t="s">
        <v>26</v>
      </c>
      <c r="J65" s="1" t="s">
        <v>26</v>
      </c>
      <c r="K65" s="1" t="s">
        <v>26</v>
      </c>
      <c r="L65" s="1" t="s">
        <v>26</v>
      </c>
      <c r="M65" s="1" t="s">
        <v>26</v>
      </c>
      <c r="N65" s="1" t="s">
        <v>26</v>
      </c>
      <c r="O65" s="1" t="s">
        <v>26</v>
      </c>
      <c r="P65" s="1" t="s">
        <v>26</v>
      </c>
      <c r="Q65" s="2">
        <f t="shared" si="1"/>
        <v>1701583</v>
      </c>
      <c r="R65" s="2">
        <f t="shared" si="2"/>
        <v>1523019</v>
      </c>
      <c r="S65" s="2">
        <f t="shared" si="3"/>
        <v>10.49399567</v>
      </c>
      <c r="T65" s="2">
        <f t="shared" si="4"/>
        <v>2</v>
      </c>
      <c r="U65" s="2">
        <f t="shared" si="5"/>
        <v>100</v>
      </c>
      <c r="V65" s="2">
        <f t="shared" si="6"/>
        <v>90</v>
      </c>
      <c r="W65" s="2">
        <f t="shared" si="7"/>
        <v>10</v>
      </c>
      <c r="X65" s="2">
        <f t="shared" si="8"/>
        <v>4</v>
      </c>
    </row>
    <row r="66">
      <c r="A66" s="1" t="s">
        <v>154</v>
      </c>
      <c r="B66" s="1" t="s">
        <v>34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1">
        <v>98.57922314</v>
      </c>
      <c r="J66" s="1">
        <v>0.0</v>
      </c>
      <c r="K66" s="1">
        <v>1.42077686</v>
      </c>
      <c r="L66" s="1">
        <v>0.0</v>
      </c>
      <c r="M66" s="1">
        <v>98.87692469</v>
      </c>
      <c r="N66" s="1">
        <v>0.9987568151</v>
      </c>
      <c r="O66" s="1">
        <v>0.1243184908</v>
      </c>
      <c r="P66" s="1">
        <v>0.0</v>
      </c>
      <c r="Q66" s="2">
        <f t="shared" si="1"/>
        <v>1886202</v>
      </c>
      <c r="R66" s="2">
        <f t="shared" si="2"/>
        <v>1288559</v>
      </c>
      <c r="S66" s="2">
        <f t="shared" si="3"/>
        <v>31.68499756</v>
      </c>
      <c r="T66" s="2">
        <f t="shared" si="4"/>
        <v>2</v>
      </c>
      <c r="U66" s="2">
        <f t="shared" si="5"/>
        <v>98.7826</v>
      </c>
      <c r="V66" s="2">
        <f t="shared" si="6"/>
        <v>68</v>
      </c>
      <c r="W66" s="2">
        <f t="shared" si="7"/>
        <v>32</v>
      </c>
      <c r="X66" s="2">
        <f t="shared" si="8"/>
        <v>4</v>
      </c>
    </row>
    <row r="67">
      <c r="A67" s="1" t="s">
        <v>212</v>
      </c>
      <c r="B67" s="1" t="s">
        <v>59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1">
        <v>49.8319053</v>
      </c>
      <c r="J67" s="1">
        <v>9.285773026</v>
      </c>
      <c r="K67" s="1">
        <v>40.31645129</v>
      </c>
      <c r="L67" s="1">
        <v>0.5658703845</v>
      </c>
      <c r="M67" s="1">
        <v>70.61434791</v>
      </c>
      <c r="N67" s="1">
        <v>20.03063358</v>
      </c>
      <c r="O67" s="1">
        <v>9.340625284</v>
      </c>
      <c r="P67" s="1">
        <v>0.01439322693</v>
      </c>
      <c r="Q67" s="2">
        <f t="shared" si="1"/>
        <v>1967998</v>
      </c>
      <c r="R67" s="2">
        <f t="shared" si="2"/>
        <v>869776</v>
      </c>
      <c r="S67" s="2">
        <f t="shared" si="3"/>
        <v>55.80400085</v>
      </c>
      <c r="T67" s="2">
        <f t="shared" si="4"/>
        <v>2</v>
      </c>
      <c r="U67" s="2">
        <f t="shared" si="5"/>
        <v>59.01691</v>
      </c>
      <c r="V67" s="2">
        <f t="shared" si="6"/>
        <v>44</v>
      </c>
      <c r="W67" s="2">
        <f t="shared" si="7"/>
        <v>56</v>
      </c>
      <c r="X67" s="2">
        <f t="shared" si="8"/>
        <v>1</v>
      </c>
    </row>
    <row r="68">
      <c r="A68" s="1" t="s">
        <v>190</v>
      </c>
      <c r="B68" s="1" t="s">
        <v>34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1" t="s">
        <v>26</v>
      </c>
      <c r="J68" s="1" t="s">
        <v>26</v>
      </c>
      <c r="K68" s="1" t="s">
        <v>26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26</v>
      </c>
      <c r="Q68" s="2">
        <f t="shared" si="1"/>
        <v>2078932</v>
      </c>
      <c r="R68" s="2">
        <f t="shared" si="2"/>
        <v>1145866</v>
      </c>
      <c r="S68" s="2">
        <f t="shared" si="3"/>
        <v>44.88199615</v>
      </c>
      <c r="T68" s="2">
        <f t="shared" si="4"/>
        <v>3</v>
      </c>
      <c r="U68" s="2">
        <f t="shared" si="5"/>
        <v>99.5</v>
      </c>
      <c r="V68" s="2">
        <f t="shared" si="6"/>
        <v>55</v>
      </c>
      <c r="W68" s="2">
        <f t="shared" si="7"/>
        <v>45</v>
      </c>
      <c r="X68" s="2">
        <f t="shared" si="8"/>
        <v>4</v>
      </c>
    </row>
    <row r="69">
      <c r="A69" s="1" t="s">
        <v>181</v>
      </c>
      <c r="B69" s="1" t="s">
        <v>37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1">
        <v>97.46871457</v>
      </c>
      <c r="J69" s="1">
        <v>1.505202232</v>
      </c>
      <c r="K69" s="1">
        <v>0.9105631982</v>
      </c>
      <c r="L69" s="1">
        <v>0.11552</v>
      </c>
      <c r="M69" s="1">
        <v>97.93740299</v>
      </c>
      <c r="N69" s="1">
        <v>1.727136954</v>
      </c>
      <c r="O69" s="1">
        <v>0.3354600563</v>
      </c>
      <c r="P69" s="1">
        <v>0.0</v>
      </c>
      <c r="Q69" s="2">
        <f t="shared" si="1"/>
        <v>2083380</v>
      </c>
      <c r="R69" s="2">
        <f t="shared" si="2"/>
        <v>1218402</v>
      </c>
      <c r="S69" s="2">
        <f t="shared" si="3"/>
        <v>41.51800156</v>
      </c>
      <c r="T69" s="2">
        <f t="shared" si="4"/>
        <v>3</v>
      </c>
      <c r="U69" s="2">
        <f t="shared" si="5"/>
        <v>97.74282</v>
      </c>
      <c r="V69" s="2">
        <f t="shared" si="6"/>
        <v>58</v>
      </c>
      <c r="W69" s="2">
        <f t="shared" si="7"/>
        <v>42</v>
      </c>
      <c r="X69" s="2">
        <f t="shared" si="8"/>
        <v>3</v>
      </c>
    </row>
    <row r="70">
      <c r="A70" s="1" t="s">
        <v>235</v>
      </c>
      <c r="B70" s="1" t="s">
        <v>60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1">
        <v>63.65035482</v>
      </c>
      <c r="J70" s="1">
        <v>13.55843013</v>
      </c>
      <c r="K70" s="1">
        <v>15.73132479</v>
      </c>
      <c r="L70" s="1">
        <v>7.059890254</v>
      </c>
      <c r="M70" s="1">
        <v>93.02090855</v>
      </c>
      <c r="N70" s="1">
        <v>2.698211997</v>
      </c>
      <c r="O70" s="1">
        <v>3.625530038</v>
      </c>
      <c r="P70" s="1">
        <v>0.65534942</v>
      </c>
      <c r="Q70" s="2">
        <f t="shared" si="1"/>
        <v>2142252</v>
      </c>
      <c r="R70" s="2">
        <f t="shared" si="2"/>
        <v>621853</v>
      </c>
      <c r="S70" s="2">
        <f t="shared" si="3"/>
        <v>70.97200012</v>
      </c>
      <c r="T70" s="2">
        <f t="shared" si="4"/>
        <v>3</v>
      </c>
      <c r="U70" s="2">
        <f t="shared" si="5"/>
        <v>72.17604</v>
      </c>
      <c r="V70" s="2">
        <f t="shared" si="6"/>
        <v>29</v>
      </c>
      <c r="W70" s="2">
        <f t="shared" si="7"/>
        <v>71</v>
      </c>
      <c r="X70" s="2">
        <f t="shared" si="8"/>
        <v>2</v>
      </c>
    </row>
    <row r="71">
      <c r="A71" s="1" t="s">
        <v>99</v>
      </c>
      <c r="B71" s="1" t="s">
        <v>37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26</v>
      </c>
      <c r="I71" s="1">
        <v>44.74588901</v>
      </c>
      <c r="J71" s="1">
        <v>10.51114859</v>
      </c>
      <c r="K71" s="1">
        <v>44.7429624</v>
      </c>
      <c r="L71" s="1" t="s">
        <v>26</v>
      </c>
      <c r="M71" s="1">
        <v>89.80653917</v>
      </c>
      <c r="N71" s="1">
        <v>7.42998076</v>
      </c>
      <c r="O71" s="1">
        <v>2.763480072</v>
      </c>
      <c r="P71" s="1" t="s">
        <v>26</v>
      </c>
      <c r="Q71" s="2">
        <f t="shared" si="1"/>
        <v>2225728</v>
      </c>
      <c r="R71" s="2">
        <f t="shared" si="2"/>
        <v>2005203</v>
      </c>
      <c r="S71" s="2">
        <f t="shared" si="3"/>
        <v>9.90799713</v>
      </c>
      <c r="T71" s="2">
        <f t="shared" si="4"/>
        <v>3</v>
      </c>
      <c r="U71" s="2">
        <f t="shared" si="5"/>
        <v>85.34193</v>
      </c>
      <c r="V71" s="2">
        <f t="shared" si="6"/>
        <v>90</v>
      </c>
      <c r="W71" s="2">
        <f t="shared" si="7"/>
        <v>10</v>
      </c>
      <c r="X71" s="2">
        <f t="shared" si="8"/>
        <v>3</v>
      </c>
    </row>
    <row r="72">
      <c r="A72" s="1" t="s">
        <v>145</v>
      </c>
      <c r="B72" s="1" t="s">
        <v>37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1">
        <v>79.04372386</v>
      </c>
      <c r="J72" s="1">
        <v>15.15494718</v>
      </c>
      <c r="K72" s="1">
        <v>1.596119156</v>
      </c>
      <c r="L72" s="1">
        <v>4.20520981</v>
      </c>
      <c r="M72" s="1">
        <v>97.62498058</v>
      </c>
      <c r="N72" s="1">
        <v>0.4366200322</v>
      </c>
      <c r="O72" s="1">
        <v>1.788579159</v>
      </c>
      <c r="P72" s="1">
        <v>0.1498202281</v>
      </c>
      <c r="Q72" s="2">
        <f t="shared" si="1"/>
        <v>2351625</v>
      </c>
      <c r="R72" s="2">
        <f t="shared" si="2"/>
        <v>1666761</v>
      </c>
      <c r="S72" s="2">
        <f t="shared" si="3"/>
        <v>29.1230011</v>
      </c>
      <c r="T72" s="2">
        <f t="shared" si="4"/>
        <v>3</v>
      </c>
      <c r="U72" s="2">
        <f t="shared" si="5"/>
        <v>92.21356</v>
      </c>
      <c r="V72" s="2">
        <f t="shared" si="6"/>
        <v>71</v>
      </c>
      <c r="W72" s="2">
        <f t="shared" si="7"/>
        <v>29</v>
      </c>
      <c r="X72" s="2">
        <f t="shared" si="8"/>
        <v>3</v>
      </c>
    </row>
    <row r="73">
      <c r="A73" s="1" t="s">
        <v>167</v>
      </c>
      <c r="B73" s="1" t="s">
        <v>59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1">
        <v>69.18852321</v>
      </c>
      <c r="J73" s="1">
        <v>16.49783239</v>
      </c>
      <c r="K73" s="1">
        <v>14.24376547</v>
      </c>
      <c r="L73" s="1">
        <v>0.0698789368</v>
      </c>
      <c r="M73" s="1">
        <v>87.96690427</v>
      </c>
      <c r="N73" s="1">
        <v>3.873689522</v>
      </c>
      <c r="O73" s="1">
        <v>8.026457278</v>
      </c>
      <c r="P73" s="1">
        <v>0.1329489253</v>
      </c>
      <c r="Q73" s="2">
        <f t="shared" si="1"/>
        <v>2416664</v>
      </c>
      <c r="R73" s="2">
        <f t="shared" si="2"/>
        <v>1512397</v>
      </c>
      <c r="S73" s="2">
        <f t="shared" si="3"/>
        <v>37.41800308</v>
      </c>
      <c r="T73" s="2">
        <f t="shared" si="4"/>
        <v>3</v>
      </c>
      <c r="U73" s="2">
        <f t="shared" si="5"/>
        <v>80.94041</v>
      </c>
      <c r="V73" s="2">
        <f t="shared" si="6"/>
        <v>63</v>
      </c>
      <c r="W73" s="2">
        <f t="shared" si="7"/>
        <v>37</v>
      </c>
      <c r="X73" s="2">
        <f t="shared" si="8"/>
        <v>1</v>
      </c>
    </row>
    <row r="74">
      <c r="A74" s="1" t="s">
        <v>200</v>
      </c>
      <c r="B74" s="1" t="s">
        <v>37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1">
        <v>71.25616743</v>
      </c>
      <c r="J74" s="1">
        <v>11.97218925</v>
      </c>
      <c r="K74" s="1">
        <v>7.081803759</v>
      </c>
      <c r="L74" s="1">
        <v>9.689839563</v>
      </c>
      <c r="M74" s="1">
        <v>96.26696535</v>
      </c>
      <c r="N74" s="1">
        <v>2.584758965</v>
      </c>
      <c r="O74" s="1">
        <v>0.6596102638</v>
      </c>
      <c r="P74" s="1">
        <v>0.4886654211</v>
      </c>
      <c r="Q74" s="2">
        <f t="shared" si="1"/>
        <v>2540916</v>
      </c>
      <c r="R74" s="2">
        <f t="shared" si="2"/>
        <v>1322115</v>
      </c>
      <c r="S74" s="2">
        <f t="shared" si="3"/>
        <v>47.96699905</v>
      </c>
      <c r="T74" s="2">
        <f t="shared" si="4"/>
        <v>3</v>
      </c>
      <c r="U74" s="2">
        <f t="shared" si="5"/>
        <v>84.27004</v>
      </c>
      <c r="V74" s="2">
        <f t="shared" si="6"/>
        <v>52</v>
      </c>
      <c r="W74" s="2">
        <f t="shared" si="7"/>
        <v>48</v>
      </c>
      <c r="X74" s="2">
        <f t="shared" si="8"/>
        <v>3</v>
      </c>
    </row>
    <row r="75">
      <c r="A75" s="1" t="s">
        <v>155</v>
      </c>
      <c r="B75" s="1" t="s">
        <v>34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1">
        <v>93.78278023</v>
      </c>
      <c r="J75" s="1">
        <v>0.0</v>
      </c>
      <c r="K75" s="1">
        <v>6.217219771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  <c r="Q75" s="2">
        <f t="shared" si="1"/>
        <v>2722291</v>
      </c>
      <c r="R75" s="2">
        <f t="shared" si="2"/>
        <v>1852410</v>
      </c>
      <c r="S75" s="2">
        <f t="shared" si="3"/>
        <v>31.95400238</v>
      </c>
      <c r="T75" s="2">
        <f t="shared" si="4"/>
        <v>3</v>
      </c>
      <c r="U75" s="2">
        <f t="shared" si="5"/>
        <v>98.01335</v>
      </c>
      <c r="V75" s="2">
        <f t="shared" si="6"/>
        <v>68</v>
      </c>
      <c r="W75" s="2">
        <f t="shared" si="7"/>
        <v>32</v>
      </c>
      <c r="X75" s="2">
        <f t="shared" si="8"/>
        <v>4</v>
      </c>
    </row>
    <row r="76">
      <c r="A76" s="1" t="s">
        <v>90</v>
      </c>
      <c r="B76" s="1" t="s">
        <v>34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1" t="s">
        <v>26</v>
      </c>
      <c r="J76" s="1" t="s">
        <v>26</v>
      </c>
      <c r="K76" s="1" t="s">
        <v>26</v>
      </c>
      <c r="L76" s="1" t="s">
        <v>26</v>
      </c>
      <c r="M76" s="1" t="s">
        <v>26</v>
      </c>
      <c r="N76" s="1" t="s">
        <v>26</v>
      </c>
      <c r="O76" s="1" t="s">
        <v>26</v>
      </c>
      <c r="P76" s="1" t="s">
        <v>26</v>
      </c>
      <c r="Q76" s="2">
        <f t="shared" si="1"/>
        <v>2860840</v>
      </c>
      <c r="R76" s="2">
        <f t="shared" si="2"/>
        <v>2677203</v>
      </c>
      <c r="S76" s="2">
        <f t="shared" si="3"/>
        <v>6.41899872</v>
      </c>
      <c r="T76" s="2">
        <f t="shared" si="4"/>
        <v>3</v>
      </c>
      <c r="U76" s="2">
        <f t="shared" si="5"/>
        <v>100</v>
      </c>
      <c r="V76" s="2">
        <f t="shared" si="6"/>
        <v>94</v>
      </c>
      <c r="W76" s="2">
        <f t="shared" si="7"/>
        <v>6</v>
      </c>
      <c r="X76" s="2">
        <f t="shared" si="8"/>
        <v>4</v>
      </c>
    </row>
    <row r="77">
      <c r="A77" s="1" t="s">
        <v>169</v>
      </c>
      <c r="B77" s="1" t="s">
        <v>37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1">
        <v>94.09135806</v>
      </c>
      <c r="J77" s="1">
        <v>2.305264955</v>
      </c>
      <c r="K77" s="1">
        <v>3.603376986</v>
      </c>
      <c r="L77" s="1">
        <v>0.0</v>
      </c>
      <c r="M77" s="1">
        <v>95.66380912</v>
      </c>
      <c r="N77" s="1">
        <v>1.62808683</v>
      </c>
      <c r="O77" s="1">
        <v>2.708104054</v>
      </c>
      <c r="P77" s="1">
        <v>0.0</v>
      </c>
      <c r="Q77" s="2">
        <f t="shared" si="1"/>
        <v>2877800</v>
      </c>
      <c r="R77" s="2">
        <f t="shared" si="2"/>
        <v>1787459</v>
      </c>
      <c r="S77" s="2">
        <f t="shared" si="3"/>
        <v>37.88800049</v>
      </c>
      <c r="T77" s="2">
        <f t="shared" si="4"/>
        <v>3</v>
      </c>
      <c r="U77" s="2">
        <f t="shared" si="5"/>
        <v>95.06804</v>
      </c>
      <c r="V77" s="2">
        <f t="shared" si="6"/>
        <v>62</v>
      </c>
      <c r="W77" s="2">
        <f t="shared" si="7"/>
        <v>38</v>
      </c>
      <c r="X77" s="2">
        <f t="shared" si="8"/>
        <v>3</v>
      </c>
    </row>
    <row r="78">
      <c r="A78" s="1" t="s">
        <v>84</v>
      </c>
      <c r="B78" s="1" t="s">
        <v>34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1" t="s">
        <v>26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26</v>
      </c>
      <c r="P78" s="1" t="s">
        <v>26</v>
      </c>
      <c r="Q78" s="2">
        <f t="shared" si="1"/>
        <v>2881060</v>
      </c>
      <c r="R78" s="2">
        <f t="shared" si="2"/>
        <v>2859020</v>
      </c>
      <c r="S78" s="2">
        <f t="shared" si="3"/>
        <v>0.76499939</v>
      </c>
      <c r="T78" s="2">
        <f t="shared" si="4"/>
        <v>3</v>
      </c>
      <c r="U78" s="2">
        <f t="shared" si="5"/>
        <v>99.5681</v>
      </c>
      <c r="V78" s="2">
        <f t="shared" si="6"/>
        <v>99</v>
      </c>
      <c r="W78" s="2">
        <f t="shared" si="7"/>
        <v>1</v>
      </c>
      <c r="X78" s="2">
        <f t="shared" si="8"/>
        <v>4</v>
      </c>
    </row>
    <row r="79">
      <c r="A79" s="1" t="s">
        <v>187</v>
      </c>
      <c r="B79" s="1" t="s">
        <v>37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1">
        <v>85.39991216</v>
      </c>
      <c r="J79" s="1">
        <v>8.490737371</v>
      </c>
      <c r="K79" s="1">
        <v>2.568971895</v>
      </c>
      <c r="L79" s="1">
        <v>3.540378574</v>
      </c>
      <c r="M79" s="1">
        <v>95.39801591</v>
      </c>
      <c r="N79" s="1">
        <v>2.944456223</v>
      </c>
      <c r="O79" s="1">
        <v>1.317064322</v>
      </c>
      <c r="P79" s="1">
        <v>0.34046355</v>
      </c>
      <c r="Q79" s="2">
        <f t="shared" si="1"/>
        <v>2961161</v>
      </c>
      <c r="R79" s="2">
        <f t="shared" si="2"/>
        <v>1667459</v>
      </c>
      <c r="S79" s="2">
        <f t="shared" si="3"/>
        <v>43.68899918</v>
      </c>
      <c r="T79" s="2">
        <f t="shared" si="4"/>
        <v>3</v>
      </c>
      <c r="U79" s="2">
        <f t="shared" si="5"/>
        <v>91.02994</v>
      </c>
      <c r="V79" s="2">
        <f t="shared" si="6"/>
        <v>56</v>
      </c>
      <c r="W79" s="2">
        <f t="shared" si="7"/>
        <v>44</v>
      </c>
      <c r="X79" s="2">
        <f t="shared" si="8"/>
        <v>3</v>
      </c>
    </row>
    <row r="80">
      <c r="A80" s="1" t="s">
        <v>166</v>
      </c>
      <c r="B80" s="1" t="s">
        <v>37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99.95448122</v>
      </c>
      <c r="N80" s="1">
        <v>0.0</v>
      </c>
      <c r="O80" s="1">
        <v>0.04551878364</v>
      </c>
      <c r="P80" s="1">
        <v>0.0</v>
      </c>
      <c r="Q80" s="2">
        <f t="shared" si="1"/>
        <v>2963234</v>
      </c>
      <c r="R80" s="2">
        <f t="shared" si="2"/>
        <v>1876112</v>
      </c>
      <c r="S80" s="2">
        <f t="shared" si="3"/>
        <v>36.68700027</v>
      </c>
      <c r="T80" s="2">
        <f t="shared" si="4"/>
        <v>3</v>
      </c>
      <c r="U80" s="2">
        <f t="shared" si="5"/>
        <v>99.97118</v>
      </c>
      <c r="V80" s="2">
        <f t="shared" si="6"/>
        <v>63</v>
      </c>
      <c r="W80" s="2">
        <f t="shared" si="7"/>
        <v>37</v>
      </c>
      <c r="X80" s="2">
        <f t="shared" si="8"/>
        <v>3</v>
      </c>
    </row>
    <row r="81">
      <c r="A81" s="1" t="s">
        <v>152</v>
      </c>
      <c r="B81" s="1" t="s">
        <v>60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1">
        <v>61.07075114</v>
      </c>
      <c r="J81" s="1">
        <v>3.084170572</v>
      </c>
      <c r="K81" s="1">
        <v>17.58078116</v>
      </c>
      <c r="L81" s="1">
        <v>18.26429713</v>
      </c>
      <c r="M81" s="1">
        <v>96.64596558</v>
      </c>
      <c r="N81" s="1">
        <v>1.718335079</v>
      </c>
      <c r="O81" s="1">
        <v>1.635699341</v>
      </c>
      <c r="P81" s="1">
        <v>0.0</v>
      </c>
      <c r="Q81" s="2">
        <f t="shared" si="1"/>
        <v>3278292</v>
      </c>
      <c r="R81" s="2">
        <f t="shared" si="2"/>
        <v>2250777</v>
      </c>
      <c r="S81" s="2">
        <f t="shared" si="3"/>
        <v>31.34300232</v>
      </c>
      <c r="T81" s="2">
        <f t="shared" si="4"/>
        <v>4</v>
      </c>
      <c r="U81" s="2">
        <f t="shared" si="5"/>
        <v>85.49563</v>
      </c>
      <c r="V81" s="2">
        <f t="shared" si="6"/>
        <v>69</v>
      </c>
      <c r="W81" s="2">
        <f t="shared" si="7"/>
        <v>31</v>
      </c>
      <c r="X81" s="2">
        <f t="shared" si="8"/>
        <v>2</v>
      </c>
    </row>
    <row r="82">
      <c r="A82" s="1" t="s">
        <v>204</v>
      </c>
      <c r="B82" s="1" t="s">
        <v>37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1">
        <v>97.33333333</v>
      </c>
      <c r="J82" s="1">
        <v>2.666666667</v>
      </c>
      <c r="K82" s="1">
        <v>0.0</v>
      </c>
      <c r="L82" s="1">
        <v>0.0</v>
      </c>
      <c r="M82" s="1">
        <v>94.8457044</v>
      </c>
      <c r="N82" s="1">
        <v>5.026922206</v>
      </c>
      <c r="O82" s="1">
        <v>0.1273733928</v>
      </c>
      <c r="P82" s="1">
        <v>0.0</v>
      </c>
      <c r="Q82" s="2">
        <f t="shared" si="1"/>
        <v>3280815</v>
      </c>
      <c r="R82" s="2">
        <f t="shared" si="2"/>
        <v>1608256</v>
      </c>
      <c r="S82" s="2">
        <f t="shared" si="3"/>
        <v>50.97999954</v>
      </c>
      <c r="T82" s="2">
        <f t="shared" si="4"/>
        <v>4</v>
      </c>
      <c r="U82" s="2">
        <f t="shared" si="5"/>
        <v>96.1139</v>
      </c>
      <c r="V82" s="2">
        <f t="shared" si="6"/>
        <v>49</v>
      </c>
      <c r="W82" s="2">
        <f t="shared" si="7"/>
        <v>51</v>
      </c>
      <c r="X82" s="2">
        <f t="shared" si="8"/>
        <v>3</v>
      </c>
    </row>
    <row r="83">
      <c r="A83" s="1" t="s">
        <v>88</v>
      </c>
      <c r="B83" s="1" t="s">
        <v>34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1">
        <v>95.30083</v>
      </c>
      <c r="J83" s="1">
        <v>4.69917</v>
      </c>
      <c r="K83" s="1">
        <v>0.0</v>
      </c>
      <c r="L83" s="1">
        <v>0.0</v>
      </c>
      <c r="M83" s="1">
        <v>99.69273444</v>
      </c>
      <c r="N83" s="1">
        <v>0.3072655617</v>
      </c>
      <c r="O83" s="1">
        <v>0.0</v>
      </c>
      <c r="P83" s="1">
        <v>0.0</v>
      </c>
      <c r="Q83" s="2">
        <f t="shared" si="1"/>
        <v>3473727</v>
      </c>
      <c r="R83" s="2">
        <f t="shared" si="2"/>
        <v>3317930</v>
      </c>
      <c r="S83" s="2">
        <f t="shared" si="3"/>
        <v>4.48500061</v>
      </c>
      <c r="T83" s="2">
        <f t="shared" si="4"/>
        <v>4</v>
      </c>
      <c r="U83" s="2">
        <f t="shared" si="5"/>
        <v>99.49576</v>
      </c>
      <c r="V83" s="2">
        <f t="shared" si="6"/>
        <v>96</v>
      </c>
      <c r="W83" s="2">
        <f t="shared" si="7"/>
        <v>4</v>
      </c>
      <c r="X83" s="2">
        <f t="shared" si="8"/>
        <v>4</v>
      </c>
    </row>
    <row r="84">
      <c r="A84" s="1" t="s">
        <v>175</v>
      </c>
      <c r="B84" s="1" t="s">
        <v>37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1">
        <v>94.2718842</v>
      </c>
      <c r="J84" s="1">
        <v>0.0</v>
      </c>
      <c r="K84" s="1">
        <v>5.703923618</v>
      </c>
      <c r="L84" s="1">
        <v>0.02419218345</v>
      </c>
      <c r="M84" s="1">
        <v>99.44615394</v>
      </c>
      <c r="N84" s="1">
        <v>0.0</v>
      </c>
      <c r="O84" s="1">
        <v>0.538220742</v>
      </c>
      <c r="P84" s="1">
        <v>0.01562531586</v>
      </c>
      <c r="Q84" s="2">
        <f t="shared" si="1"/>
        <v>3989175</v>
      </c>
      <c r="R84" s="2">
        <f t="shared" si="2"/>
        <v>2371684</v>
      </c>
      <c r="S84" s="2">
        <f t="shared" si="3"/>
        <v>40.5470047</v>
      </c>
      <c r="T84" s="2">
        <f t="shared" si="4"/>
        <v>4</v>
      </c>
      <c r="U84" s="2">
        <f t="shared" si="5"/>
        <v>97.34814</v>
      </c>
      <c r="V84" s="2">
        <f t="shared" si="6"/>
        <v>59</v>
      </c>
      <c r="W84" s="2">
        <f t="shared" si="7"/>
        <v>41</v>
      </c>
      <c r="X84" s="2">
        <f t="shared" si="8"/>
        <v>3</v>
      </c>
    </row>
    <row r="85">
      <c r="A85" s="1" t="s">
        <v>216</v>
      </c>
      <c r="B85" s="1" t="s">
        <v>37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1">
        <v>85.48103812</v>
      </c>
      <c r="J85" s="1">
        <v>1.52256302</v>
      </c>
      <c r="K85" s="1">
        <v>12.99639886</v>
      </c>
      <c r="L85" s="1">
        <v>0.0</v>
      </c>
      <c r="M85" s="1">
        <v>97.35744448</v>
      </c>
      <c r="N85" s="1">
        <v>1.516060408</v>
      </c>
      <c r="O85" s="1">
        <v>1.126495111</v>
      </c>
      <c r="P85" s="1">
        <v>0.0</v>
      </c>
      <c r="Q85" s="2">
        <f t="shared" si="1"/>
        <v>4033963</v>
      </c>
      <c r="R85" s="2">
        <f t="shared" si="2"/>
        <v>1728513</v>
      </c>
      <c r="S85" s="2">
        <f t="shared" si="3"/>
        <v>57.15099716</v>
      </c>
      <c r="T85" s="2">
        <f t="shared" si="4"/>
        <v>5</v>
      </c>
      <c r="U85" s="2">
        <f t="shared" si="5"/>
        <v>90.56996</v>
      </c>
      <c r="V85" s="2">
        <f t="shared" si="6"/>
        <v>43</v>
      </c>
      <c r="W85" s="2">
        <f t="shared" si="7"/>
        <v>57</v>
      </c>
      <c r="X85" s="2">
        <f t="shared" si="8"/>
        <v>3</v>
      </c>
    </row>
    <row r="86">
      <c r="A86" s="1" t="s">
        <v>178</v>
      </c>
      <c r="B86" s="1" t="s">
        <v>34</v>
      </c>
      <c r="C86" s="1">
        <v>4105.268066</v>
      </c>
      <c r="D86" s="1">
        <v>57.55299759</v>
      </c>
      <c r="E86" s="1" t="s">
        <v>26</v>
      </c>
      <c r="F86" s="1" t="s">
        <v>26</v>
      </c>
      <c r="G86" s="1" t="s">
        <v>26</v>
      </c>
      <c r="H86" s="1" t="s">
        <v>26</v>
      </c>
      <c r="I86" s="1" t="s">
        <v>26</v>
      </c>
      <c r="J86" s="1" t="s">
        <v>26</v>
      </c>
      <c r="K86" s="1" t="s">
        <v>26</v>
      </c>
      <c r="L86" s="1" t="s">
        <v>26</v>
      </c>
      <c r="M86" s="1">
        <v>100.0</v>
      </c>
      <c r="N86" s="1">
        <v>0.0</v>
      </c>
      <c r="O86" s="1">
        <v>0.0</v>
      </c>
      <c r="P86" s="1">
        <v>0.0</v>
      </c>
      <c r="Q86" s="2">
        <f t="shared" si="1"/>
        <v>4105268</v>
      </c>
      <c r="R86" s="2">
        <f t="shared" si="2"/>
        <v>2362705</v>
      </c>
      <c r="S86" s="2">
        <f t="shared" si="3"/>
        <v>42.44700241</v>
      </c>
      <c r="T86" s="2">
        <f t="shared" si="4"/>
        <v>5</v>
      </c>
      <c r="U86" s="1" t="s">
        <v>26</v>
      </c>
      <c r="V86" s="2">
        <f t="shared" si="6"/>
        <v>58</v>
      </c>
      <c r="W86" s="2">
        <f t="shared" si="7"/>
        <v>42</v>
      </c>
      <c r="X86" s="2">
        <f t="shared" si="8"/>
        <v>4</v>
      </c>
    </row>
    <row r="87">
      <c r="A87" s="1" t="s">
        <v>81</v>
      </c>
      <c r="B87" s="1" t="s">
        <v>34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1" t="s">
        <v>26</v>
      </c>
      <c r="J87" s="1" t="s">
        <v>26</v>
      </c>
      <c r="K87" s="1" t="s">
        <v>26</v>
      </c>
      <c r="L87" s="1" t="s">
        <v>26</v>
      </c>
      <c r="M87" s="1" t="s">
        <v>26</v>
      </c>
      <c r="N87" s="1" t="s">
        <v>26</v>
      </c>
      <c r="O87" s="1" t="s">
        <v>26</v>
      </c>
      <c r="P87" s="1" t="s">
        <v>26</v>
      </c>
      <c r="Q87" s="2">
        <f t="shared" si="1"/>
        <v>4270563</v>
      </c>
      <c r="R87" s="2">
        <f t="shared" si="2"/>
        <v>4270563</v>
      </c>
      <c r="S87" s="2">
        <f t="shared" si="3"/>
        <v>0</v>
      </c>
      <c r="T87" s="2">
        <f t="shared" si="4"/>
        <v>5</v>
      </c>
      <c r="U87" s="2">
        <f t="shared" ref="U87:U182" si="9">ROUND(E87,5)</f>
        <v>100</v>
      </c>
      <c r="V87" s="2">
        <f t="shared" si="6"/>
        <v>100</v>
      </c>
      <c r="W87" s="2">
        <f t="shared" si="7"/>
        <v>0</v>
      </c>
      <c r="X87" s="2">
        <f t="shared" si="8"/>
        <v>4</v>
      </c>
    </row>
    <row r="88">
      <c r="A88" s="1" t="s">
        <v>157</v>
      </c>
      <c r="B88" s="1" t="s">
        <v>34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1">
        <v>86.32308326</v>
      </c>
      <c r="J88" s="1">
        <v>1.791982583</v>
      </c>
      <c r="K88" s="1">
        <v>7.162364342</v>
      </c>
      <c r="L88" s="1">
        <v>4.722569811</v>
      </c>
      <c r="M88" s="1">
        <v>98.08889267</v>
      </c>
      <c r="N88" s="1">
        <v>1.911107333</v>
      </c>
      <c r="O88" s="1">
        <v>0.0</v>
      </c>
      <c r="P88" s="1">
        <v>0.0</v>
      </c>
      <c r="Q88" s="2">
        <f t="shared" si="1"/>
        <v>4314768</v>
      </c>
      <c r="R88" s="2">
        <f t="shared" si="2"/>
        <v>2951905</v>
      </c>
      <c r="S88" s="2">
        <f t="shared" si="3"/>
        <v>31.58599854</v>
      </c>
      <c r="T88" s="2">
        <f t="shared" si="4"/>
        <v>5</v>
      </c>
      <c r="U88" s="2">
        <f t="shared" si="9"/>
        <v>94.37254</v>
      </c>
      <c r="V88" s="2">
        <f t="shared" si="6"/>
        <v>68</v>
      </c>
      <c r="W88" s="2">
        <f t="shared" si="7"/>
        <v>32</v>
      </c>
      <c r="X88" s="2">
        <f t="shared" si="8"/>
        <v>4</v>
      </c>
    </row>
    <row r="89">
      <c r="A89" s="1" t="s">
        <v>189</v>
      </c>
      <c r="B89" s="1" t="s">
        <v>60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1">
        <v>49.9113389</v>
      </c>
      <c r="J89" s="1">
        <v>18.49039689</v>
      </c>
      <c r="K89" s="1">
        <v>31.5496173</v>
      </c>
      <c r="L89" s="1">
        <v>0.04864690722</v>
      </c>
      <c r="M89" s="1">
        <v>89.25869465</v>
      </c>
      <c r="N89" s="1">
        <v>9.428808083</v>
      </c>
      <c r="O89" s="1">
        <v>1.31249727</v>
      </c>
      <c r="P89" s="1">
        <v>0.0</v>
      </c>
      <c r="Q89" s="2">
        <f t="shared" si="1"/>
        <v>4649660</v>
      </c>
      <c r="R89" s="2">
        <f t="shared" si="2"/>
        <v>2572517</v>
      </c>
      <c r="S89" s="2">
        <f t="shared" si="3"/>
        <v>44.67300415</v>
      </c>
      <c r="T89" s="2">
        <f t="shared" si="4"/>
        <v>5</v>
      </c>
      <c r="U89" s="2">
        <f t="shared" si="9"/>
        <v>71.68105</v>
      </c>
      <c r="V89" s="2">
        <f t="shared" si="6"/>
        <v>55</v>
      </c>
      <c r="W89" s="2">
        <f t="shared" si="7"/>
        <v>45</v>
      </c>
      <c r="X89" s="2">
        <f t="shared" si="8"/>
        <v>2</v>
      </c>
    </row>
    <row r="90">
      <c r="A90" s="1" t="s">
        <v>106</v>
      </c>
      <c r="B90" s="1" t="s">
        <v>34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1"/>
        <v>4822233</v>
      </c>
      <c r="R90" s="2">
        <f t="shared" si="2"/>
        <v>4180828</v>
      </c>
      <c r="S90" s="2">
        <f t="shared" si="3"/>
        <v>13.3010025</v>
      </c>
      <c r="T90" s="2">
        <f t="shared" si="4"/>
        <v>5</v>
      </c>
      <c r="U90" s="2">
        <f t="shared" si="9"/>
        <v>100</v>
      </c>
      <c r="V90" s="2">
        <f t="shared" si="6"/>
        <v>87</v>
      </c>
      <c r="W90" s="2">
        <f t="shared" si="7"/>
        <v>13</v>
      </c>
      <c r="X90" s="2">
        <f t="shared" si="8"/>
        <v>4</v>
      </c>
    </row>
    <row r="91">
      <c r="A91" s="1" t="s">
        <v>219</v>
      </c>
      <c r="B91" s="1" t="s">
        <v>59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1">
        <v>28.10659415</v>
      </c>
      <c r="J91" s="1">
        <v>19.4058899</v>
      </c>
      <c r="K91" s="1">
        <v>46.37307301</v>
      </c>
      <c r="L91" s="1">
        <v>6.114442944</v>
      </c>
      <c r="M91" s="1">
        <v>49.66166495</v>
      </c>
      <c r="N91" s="1">
        <v>34.27978009</v>
      </c>
      <c r="O91" s="1">
        <v>15.95940214</v>
      </c>
      <c r="P91" s="1">
        <v>0.09915281712</v>
      </c>
      <c r="Q91" s="2">
        <f t="shared" si="1"/>
        <v>4829764</v>
      </c>
      <c r="R91" s="2">
        <f t="shared" si="2"/>
        <v>2038064</v>
      </c>
      <c r="S91" s="2">
        <f t="shared" si="3"/>
        <v>57.80200195</v>
      </c>
      <c r="T91" s="2">
        <f t="shared" si="4"/>
        <v>5</v>
      </c>
      <c r="U91" s="2">
        <f t="shared" si="9"/>
        <v>37.2024</v>
      </c>
      <c r="V91" s="2">
        <f t="shared" si="6"/>
        <v>42</v>
      </c>
      <c r="W91" s="2">
        <f t="shared" si="7"/>
        <v>58</v>
      </c>
      <c r="X91" s="2">
        <f t="shared" si="8"/>
        <v>1</v>
      </c>
    </row>
    <row r="92">
      <c r="A92" s="1" t="s">
        <v>164</v>
      </c>
      <c r="B92" s="1" t="s">
        <v>34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1">
        <v>98.13492075</v>
      </c>
      <c r="J92" s="1">
        <v>0.0</v>
      </c>
      <c r="K92" s="1">
        <v>1.865079247</v>
      </c>
      <c r="L92" s="1">
        <v>0.0</v>
      </c>
      <c r="M92" s="1">
        <v>96.97988603</v>
      </c>
      <c r="N92" s="1">
        <v>0.0</v>
      </c>
      <c r="O92" s="1">
        <v>3.020113966</v>
      </c>
      <c r="P92" s="1">
        <v>0.0</v>
      </c>
      <c r="Q92" s="2">
        <f t="shared" si="1"/>
        <v>4937796</v>
      </c>
      <c r="R92" s="2">
        <f t="shared" si="2"/>
        <v>3143055</v>
      </c>
      <c r="S92" s="2">
        <f t="shared" si="3"/>
        <v>36.34700012</v>
      </c>
      <c r="T92" s="2">
        <f t="shared" si="4"/>
        <v>5</v>
      </c>
      <c r="U92" s="2">
        <f t="shared" si="9"/>
        <v>97.39971</v>
      </c>
      <c r="V92" s="2">
        <f t="shared" si="6"/>
        <v>64</v>
      </c>
      <c r="W92" s="2">
        <f t="shared" si="7"/>
        <v>36</v>
      </c>
      <c r="X92" s="2">
        <f t="shared" si="8"/>
        <v>4</v>
      </c>
    </row>
    <row r="93">
      <c r="A93" s="1" t="s">
        <v>199</v>
      </c>
      <c r="B93" s="1" t="s">
        <v>59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1">
        <v>64.10021689</v>
      </c>
      <c r="J93" s="1">
        <v>6.537775797</v>
      </c>
      <c r="K93" s="1">
        <v>3.383709875</v>
      </c>
      <c r="L93" s="1">
        <v>25.97829744</v>
      </c>
      <c r="M93" s="1">
        <v>85.52810963</v>
      </c>
      <c r="N93" s="1">
        <v>10.69005698</v>
      </c>
      <c r="O93" s="1">
        <v>3.58408039</v>
      </c>
      <c r="P93" s="1">
        <v>0.1977530006</v>
      </c>
      <c r="Q93" s="2">
        <f t="shared" si="1"/>
        <v>5057677</v>
      </c>
      <c r="R93" s="2">
        <f t="shared" si="2"/>
        <v>2634493</v>
      </c>
      <c r="S93" s="2">
        <f t="shared" si="3"/>
        <v>47.91100311</v>
      </c>
      <c r="T93" s="2">
        <f t="shared" si="4"/>
        <v>6</v>
      </c>
      <c r="U93" s="2">
        <f t="shared" si="9"/>
        <v>75.26179</v>
      </c>
      <c r="V93" s="2">
        <f t="shared" si="6"/>
        <v>52</v>
      </c>
      <c r="W93" s="2">
        <f t="shared" si="7"/>
        <v>48</v>
      </c>
      <c r="X93" s="2">
        <f t="shared" si="8"/>
        <v>1</v>
      </c>
    </row>
    <row r="94">
      <c r="A94" s="1" t="s">
        <v>119</v>
      </c>
      <c r="B94" s="1" t="s">
        <v>37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1">
        <v>99.64625</v>
      </c>
      <c r="J94" s="1">
        <v>0.35375</v>
      </c>
      <c r="K94" s="1">
        <v>0.0</v>
      </c>
      <c r="L94" s="1">
        <v>0.0</v>
      </c>
      <c r="M94" s="1">
        <v>99.84965286</v>
      </c>
      <c r="N94" s="1">
        <v>0.1503471429</v>
      </c>
      <c r="O94" s="1">
        <v>0.0</v>
      </c>
      <c r="P94" s="1">
        <v>0.0</v>
      </c>
      <c r="Q94" s="2">
        <f t="shared" si="1"/>
        <v>5094114</v>
      </c>
      <c r="R94" s="2">
        <f t="shared" si="2"/>
        <v>4114567</v>
      </c>
      <c r="S94" s="2">
        <f t="shared" si="3"/>
        <v>19.22900391</v>
      </c>
      <c r="T94" s="2">
        <f t="shared" si="4"/>
        <v>6</v>
      </c>
      <c r="U94" s="2">
        <f t="shared" si="9"/>
        <v>99.81054</v>
      </c>
      <c r="V94" s="2">
        <f t="shared" si="6"/>
        <v>81</v>
      </c>
      <c r="W94" s="2">
        <f t="shared" si="7"/>
        <v>19</v>
      </c>
      <c r="X94" s="2">
        <f t="shared" si="8"/>
        <v>3</v>
      </c>
    </row>
    <row r="95">
      <c r="A95" s="1" t="s">
        <v>134</v>
      </c>
      <c r="B95" s="1" t="s">
        <v>60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26</v>
      </c>
      <c r="I95" s="1">
        <v>98.71555642</v>
      </c>
      <c r="J95" s="1">
        <v>0.3174006273</v>
      </c>
      <c r="K95" s="1">
        <v>0.9670429576</v>
      </c>
      <c r="L95" s="1" t="s">
        <v>26</v>
      </c>
      <c r="M95" s="1">
        <v>97.62696443</v>
      </c>
      <c r="N95" s="1">
        <v>1.246217358</v>
      </c>
      <c r="O95" s="1">
        <v>1.126818208</v>
      </c>
      <c r="P95" s="1" t="s">
        <v>26</v>
      </c>
      <c r="Q95" s="2">
        <f t="shared" si="1"/>
        <v>5101416</v>
      </c>
      <c r="R95" s="2">
        <f t="shared" si="2"/>
        <v>3913755</v>
      </c>
      <c r="S95" s="2">
        <f t="shared" si="3"/>
        <v>23.28100586</v>
      </c>
      <c r="T95" s="2">
        <f t="shared" si="4"/>
        <v>6</v>
      </c>
      <c r="U95" s="2">
        <f t="shared" si="9"/>
        <v>97.8804</v>
      </c>
      <c r="V95" s="2">
        <f t="shared" si="6"/>
        <v>77</v>
      </c>
      <c r="W95" s="2">
        <f t="shared" si="7"/>
        <v>23</v>
      </c>
      <c r="X95" s="2">
        <f t="shared" si="8"/>
        <v>2</v>
      </c>
    </row>
    <row r="96">
      <c r="A96" s="1" t="s">
        <v>110</v>
      </c>
      <c r="B96" s="1" t="s">
        <v>34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1">
        <v>76.25077991</v>
      </c>
      <c r="J96" s="1">
        <v>21.63212113</v>
      </c>
      <c r="K96" s="1">
        <v>1.897409218</v>
      </c>
      <c r="L96" s="1">
        <v>0.2196897375</v>
      </c>
      <c r="M96" s="1">
        <v>94.7</v>
      </c>
      <c r="N96" s="1">
        <v>5.3</v>
      </c>
      <c r="O96" s="1">
        <v>0.0</v>
      </c>
      <c r="P96" s="1">
        <v>0.0</v>
      </c>
      <c r="Q96" s="2">
        <f t="shared" si="1"/>
        <v>5106622</v>
      </c>
      <c r="R96" s="2">
        <f t="shared" si="2"/>
        <v>4405789</v>
      </c>
      <c r="S96" s="2">
        <f t="shared" si="3"/>
        <v>13.72400665</v>
      </c>
      <c r="T96" s="2">
        <f t="shared" si="4"/>
        <v>6</v>
      </c>
      <c r="U96" s="2">
        <f t="shared" si="9"/>
        <v>92.16802</v>
      </c>
      <c r="V96" s="2">
        <f t="shared" si="6"/>
        <v>86</v>
      </c>
      <c r="W96" s="2">
        <f t="shared" si="7"/>
        <v>14</v>
      </c>
      <c r="X96" s="2">
        <f t="shared" si="8"/>
        <v>4</v>
      </c>
    </row>
    <row r="97">
      <c r="A97" s="1" t="s">
        <v>115</v>
      </c>
      <c r="B97" s="1" t="s">
        <v>34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1">
        <v>100.0</v>
      </c>
      <c r="J97" s="1">
        <v>0.0</v>
      </c>
      <c r="K97" s="1">
        <v>0.0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  <c r="Q97" s="2">
        <f t="shared" si="1"/>
        <v>5421242</v>
      </c>
      <c r="R97" s="2">
        <f t="shared" si="2"/>
        <v>4498221</v>
      </c>
      <c r="S97" s="2">
        <f t="shared" si="3"/>
        <v>17.02600861</v>
      </c>
      <c r="T97" s="2">
        <f t="shared" si="4"/>
        <v>6</v>
      </c>
      <c r="U97" s="2">
        <f t="shared" si="9"/>
        <v>100</v>
      </c>
      <c r="V97" s="2">
        <f t="shared" si="6"/>
        <v>83</v>
      </c>
      <c r="W97" s="2">
        <f t="shared" si="7"/>
        <v>17</v>
      </c>
      <c r="X97" s="2">
        <f t="shared" si="8"/>
        <v>4</v>
      </c>
    </row>
    <row r="98">
      <c r="A98" s="1" t="s">
        <v>193</v>
      </c>
      <c r="B98" s="1" t="s">
        <v>34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1">
        <v>100.0</v>
      </c>
      <c r="J98" s="1">
        <v>0.0</v>
      </c>
      <c r="K98" s="1">
        <v>0.0</v>
      </c>
      <c r="L98" s="1">
        <v>0.0</v>
      </c>
      <c r="M98" s="1">
        <v>99.60509406</v>
      </c>
      <c r="N98" s="1">
        <v>0.3949059374</v>
      </c>
      <c r="O98" s="1">
        <v>0.0</v>
      </c>
      <c r="P98" s="1">
        <v>0.0</v>
      </c>
      <c r="Q98" s="2">
        <f t="shared" si="1"/>
        <v>5459643</v>
      </c>
      <c r="R98" s="2">
        <f t="shared" si="2"/>
        <v>2935104</v>
      </c>
      <c r="S98" s="2">
        <f t="shared" si="3"/>
        <v>46.24000168</v>
      </c>
      <c r="T98" s="2">
        <f t="shared" si="4"/>
        <v>6</v>
      </c>
      <c r="U98" s="2">
        <f t="shared" si="9"/>
        <v>99.7877</v>
      </c>
      <c r="V98" s="2">
        <f t="shared" si="6"/>
        <v>54</v>
      </c>
      <c r="W98" s="2">
        <f t="shared" si="7"/>
        <v>46</v>
      </c>
      <c r="X98" s="2">
        <f t="shared" si="8"/>
        <v>4</v>
      </c>
    </row>
    <row r="99">
      <c r="A99" s="1" t="s">
        <v>153</v>
      </c>
      <c r="B99" s="1" t="s">
        <v>60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  <c r="Q99" s="2">
        <f t="shared" si="1"/>
        <v>5518092</v>
      </c>
      <c r="R99" s="2">
        <f t="shared" si="2"/>
        <v>3742867</v>
      </c>
      <c r="S99" s="2">
        <f t="shared" si="3"/>
        <v>32.17099762</v>
      </c>
      <c r="T99" s="2">
        <f t="shared" si="4"/>
        <v>6</v>
      </c>
      <c r="U99" s="2">
        <f t="shared" si="9"/>
        <v>73.78451</v>
      </c>
      <c r="V99" s="2">
        <f t="shared" si="6"/>
        <v>68</v>
      </c>
      <c r="W99" s="2">
        <f t="shared" si="7"/>
        <v>32</v>
      </c>
      <c r="X99" s="2">
        <f t="shared" si="8"/>
        <v>2</v>
      </c>
    </row>
    <row r="100">
      <c r="A100" s="1" t="s">
        <v>109</v>
      </c>
      <c r="B100" s="1" t="s">
        <v>34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  <c r="Q100" s="2">
        <f t="shared" si="1"/>
        <v>5540718</v>
      </c>
      <c r="R100" s="2">
        <f t="shared" si="2"/>
        <v>4738256</v>
      </c>
      <c r="S100" s="2">
        <f t="shared" si="3"/>
        <v>14.48299408</v>
      </c>
      <c r="T100" s="2">
        <f t="shared" si="4"/>
        <v>6</v>
      </c>
      <c r="U100" s="2">
        <f t="shared" si="9"/>
        <v>100</v>
      </c>
      <c r="V100" s="2">
        <f t="shared" si="6"/>
        <v>86</v>
      </c>
      <c r="W100" s="2">
        <f t="shared" si="7"/>
        <v>14</v>
      </c>
      <c r="X100" s="2">
        <f t="shared" si="8"/>
        <v>4</v>
      </c>
    </row>
    <row r="101">
      <c r="A101" s="1" t="s">
        <v>102</v>
      </c>
      <c r="B101" s="1" t="s">
        <v>34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1">
        <v>100.0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  <c r="Q101" s="2">
        <f t="shared" si="1"/>
        <v>5792203</v>
      </c>
      <c r="R101" s="2">
        <f t="shared" si="2"/>
        <v>5103858</v>
      </c>
      <c r="S101" s="2">
        <f t="shared" si="3"/>
        <v>11.88399506</v>
      </c>
      <c r="T101" s="2">
        <f t="shared" si="4"/>
        <v>6</v>
      </c>
      <c r="U101" s="2">
        <f t="shared" si="9"/>
        <v>100</v>
      </c>
      <c r="V101" s="2">
        <f t="shared" si="6"/>
        <v>88</v>
      </c>
      <c r="W101" s="2">
        <f t="shared" si="7"/>
        <v>12</v>
      </c>
      <c r="X101" s="2">
        <f t="shared" si="8"/>
        <v>4</v>
      </c>
    </row>
    <row r="102">
      <c r="A102" s="1" t="s">
        <v>83</v>
      </c>
      <c r="B102" s="1" t="s">
        <v>34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1" t="s">
        <v>26</v>
      </c>
      <c r="J102" s="1" t="s">
        <v>26</v>
      </c>
      <c r="K102" s="1" t="s">
        <v>26</v>
      </c>
      <c r="L102" s="1" t="s">
        <v>26</v>
      </c>
      <c r="M102" s="1">
        <v>100.0</v>
      </c>
      <c r="N102" s="1">
        <v>0.0</v>
      </c>
      <c r="O102" s="1">
        <v>0.0</v>
      </c>
      <c r="P102" s="1">
        <v>0.0</v>
      </c>
      <c r="Q102" s="2">
        <f t="shared" si="1"/>
        <v>5850343</v>
      </c>
      <c r="R102" s="2">
        <f t="shared" si="2"/>
        <v>5850343</v>
      </c>
      <c r="S102" s="2">
        <f t="shared" si="3"/>
        <v>0</v>
      </c>
      <c r="T102" s="2">
        <f t="shared" si="4"/>
        <v>6</v>
      </c>
      <c r="U102" s="2">
        <f t="shared" si="9"/>
        <v>100</v>
      </c>
      <c r="V102" s="2">
        <f t="shared" si="6"/>
        <v>100</v>
      </c>
      <c r="W102" s="2">
        <f t="shared" si="7"/>
        <v>0</v>
      </c>
      <c r="X102" s="2">
        <f t="shared" si="8"/>
        <v>4</v>
      </c>
    </row>
    <row r="103">
      <c r="A103" s="1" t="s">
        <v>195</v>
      </c>
      <c r="B103" s="1" t="s">
        <v>37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1">
        <v>100.0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  <c r="Q103" s="2">
        <f t="shared" si="1"/>
        <v>6031187</v>
      </c>
      <c r="R103" s="2">
        <f t="shared" si="2"/>
        <v>3167338</v>
      </c>
      <c r="S103" s="2">
        <f t="shared" si="3"/>
        <v>47.48399734</v>
      </c>
      <c r="T103" s="2">
        <f t="shared" si="4"/>
        <v>7</v>
      </c>
      <c r="U103" s="2">
        <f t="shared" si="9"/>
        <v>100</v>
      </c>
      <c r="V103" s="2">
        <f t="shared" si="6"/>
        <v>53</v>
      </c>
      <c r="W103" s="2">
        <f t="shared" si="7"/>
        <v>47</v>
      </c>
      <c r="X103" s="2">
        <f t="shared" si="8"/>
        <v>3</v>
      </c>
    </row>
    <row r="104">
      <c r="A104" s="1" t="s">
        <v>143</v>
      </c>
      <c r="B104" s="1" t="s">
        <v>60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1">
        <v>93.45439508</v>
      </c>
      <c r="J104" s="1">
        <v>0.7804762049</v>
      </c>
      <c r="K104" s="1">
        <v>0.0</v>
      </c>
      <c r="L104" s="1">
        <v>5.765128712</v>
      </c>
      <c r="M104" s="1">
        <v>99.57087001</v>
      </c>
      <c r="N104" s="1">
        <v>0.0</v>
      </c>
      <c r="O104" s="1">
        <v>0.4291299944</v>
      </c>
      <c r="P104" s="1">
        <v>0.0</v>
      </c>
      <c r="Q104" s="2">
        <f t="shared" si="1"/>
        <v>6486201</v>
      </c>
      <c r="R104" s="2">
        <f t="shared" si="2"/>
        <v>4763725</v>
      </c>
      <c r="S104" s="2">
        <f t="shared" si="3"/>
        <v>26.55599976</v>
      </c>
      <c r="T104" s="2">
        <f t="shared" si="4"/>
        <v>7</v>
      </c>
      <c r="U104" s="2">
        <f t="shared" si="9"/>
        <v>97.94658</v>
      </c>
      <c r="V104" s="2">
        <f t="shared" si="6"/>
        <v>73</v>
      </c>
      <c r="W104" s="2">
        <f t="shared" si="7"/>
        <v>27</v>
      </c>
      <c r="X104" s="2">
        <f t="shared" si="8"/>
        <v>2</v>
      </c>
    </row>
    <row r="105">
      <c r="A105" s="1" t="s">
        <v>224</v>
      </c>
      <c r="B105" s="1" t="s">
        <v>26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1">
        <v>87.258429</v>
      </c>
      <c r="J105" s="1">
        <v>2.606070485</v>
      </c>
      <c r="K105" s="1">
        <v>2.954593684</v>
      </c>
      <c r="L105" s="1">
        <v>7.180906832</v>
      </c>
      <c r="M105" s="1">
        <v>99.30769231</v>
      </c>
      <c r="N105" s="1">
        <v>0.6923076923</v>
      </c>
      <c r="O105" s="1">
        <v>0.0</v>
      </c>
      <c r="P105" s="1">
        <v>0.0</v>
      </c>
      <c r="Q105" s="2">
        <f t="shared" si="1"/>
        <v>6524191</v>
      </c>
      <c r="R105" s="2">
        <f t="shared" si="2"/>
        <v>2404556</v>
      </c>
      <c r="S105" s="2">
        <f t="shared" si="3"/>
        <v>63.14400101</v>
      </c>
      <c r="T105" s="2">
        <f t="shared" si="4"/>
        <v>7</v>
      </c>
      <c r="U105" s="2">
        <f t="shared" si="9"/>
        <v>91.69931</v>
      </c>
      <c r="V105" s="2">
        <f t="shared" si="6"/>
        <v>37</v>
      </c>
      <c r="W105" s="2">
        <f t="shared" si="7"/>
        <v>63</v>
      </c>
      <c r="X105" s="2">
        <f t="shared" si="8"/>
        <v>0</v>
      </c>
    </row>
    <row r="106">
      <c r="A106" s="1" t="s">
        <v>176</v>
      </c>
      <c r="B106" s="1" t="s">
        <v>60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1">
        <v>59.10744663</v>
      </c>
      <c r="J106" s="1">
        <v>3.520974285</v>
      </c>
      <c r="K106" s="1">
        <v>29.78017368</v>
      </c>
      <c r="L106" s="1">
        <v>7.5914054</v>
      </c>
      <c r="M106" s="1">
        <v>97.40695661</v>
      </c>
      <c r="N106" s="1">
        <v>0.1075523143</v>
      </c>
      <c r="O106" s="1">
        <v>2.244007656</v>
      </c>
      <c r="P106" s="1">
        <v>0.2414834229</v>
      </c>
      <c r="Q106" s="2">
        <f t="shared" si="1"/>
        <v>6624554</v>
      </c>
      <c r="R106" s="2">
        <f t="shared" si="2"/>
        <v>3909282</v>
      </c>
      <c r="S106" s="2">
        <f t="shared" si="3"/>
        <v>40.98799896</v>
      </c>
      <c r="T106" s="2">
        <f t="shared" si="4"/>
        <v>7</v>
      </c>
      <c r="U106" s="2">
        <f t="shared" si="9"/>
        <v>81.70875</v>
      </c>
      <c r="V106" s="2">
        <f t="shared" si="6"/>
        <v>59</v>
      </c>
      <c r="W106" s="2">
        <f t="shared" si="7"/>
        <v>41</v>
      </c>
      <c r="X106" s="2">
        <f t="shared" si="8"/>
        <v>2</v>
      </c>
    </row>
    <row r="107">
      <c r="A107" s="1" t="s">
        <v>100</v>
      </c>
      <c r="B107" s="1" t="s">
        <v>60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1" t="s">
        <v>26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26</v>
      </c>
      <c r="Q107" s="2">
        <f t="shared" si="1"/>
        <v>6825442</v>
      </c>
      <c r="R107" s="2">
        <f t="shared" si="2"/>
        <v>6069524</v>
      </c>
      <c r="S107" s="2">
        <f t="shared" si="3"/>
        <v>11.07500458</v>
      </c>
      <c r="T107" s="2">
        <f t="shared" si="4"/>
        <v>7</v>
      </c>
      <c r="U107" s="2">
        <f t="shared" si="9"/>
        <v>92.6</v>
      </c>
      <c r="V107" s="2">
        <f t="shared" si="6"/>
        <v>89</v>
      </c>
      <c r="W107" s="2">
        <f t="shared" si="7"/>
        <v>11</v>
      </c>
      <c r="X107" s="2">
        <f t="shared" si="8"/>
        <v>2</v>
      </c>
    </row>
    <row r="108">
      <c r="A108" s="1" t="s">
        <v>121</v>
      </c>
      <c r="B108" s="1" t="s">
        <v>37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1" t="s">
        <v>26</v>
      </c>
      <c r="J108" s="1" t="s">
        <v>26</v>
      </c>
      <c r="K108" s="1" t="s">
        <v>26</v>
      </c>
      <c r="L108" s="1" t="s">
        <v>26</v>
      </c>
      <c r="M108" s="1" t="s">
        <v>26</v>
      </c>
      <c r="N108" s="1" t="s">
        <v>26</v>
      </c>
      <c r="O108" s="1" t="s">
        <v>26</v>
      </c>
      <c r="P108" s="1" t="s">
        <v>26</v>
      </c>
      <c r="Q108" s="2">
        <f t="shared" si="1"/>
        <v>6871287</v>
      </c>
      <c r="R108" s="2">
        <f t="shared" si="2"/>
        <v>5544510</v>
      </c>
      <c r="S108" s="2">
        <f t="shared" si="3"/>
        <v>19.30899811</v>
      </c>
      <c r="T108" s="2">
        <f t="shared" si="4"/>
        <v>7</v>
      </c>
      <c r="U108" s="2">
        <f t="shared" si="9"/>
        <v>99.89152</v>
      </c>
      <c r="V108" s="2">
        <f t="shared" si="6"/>
        <v>81</v>
      </c>
      <c r="W108" s="2">
        <f t="shared" si="7"/>
        <v>19</v>
      </c>
      <c r="X108" s="2">
        <f t="shared" si="8"/>
        <v>3</v>
      </c>
    </row>
    <row r="109">
      <c r="A109" s="1" t="s">
        <v>135</v>
      </c>
      <c r="B109" s="1" t="s">
        <v>37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1">
        <v>97.40128797</v>
      </c>
      <c r="J109" s="1">
        <v>0.0</v>
      </c>
      <c r="K109" s="1">
        <v>2.598712031</v>
      </c>
      <c r="L109" s="1">
        <v>0.0</v>
      </c>
      <c r="M109" s="1">
        <v>99.5286704</v>
      </c>
      <c r="N109" s="1">
        <v>0.0</v>
      </c>
      <c r="O109" s="1">
        <v>0.4713296007</v>
      </c>
      <c r="P109" s="1">
        <v>0.0</v>
      </c>
      <c r="Q109" s="2">
        <f t="shared" si="1"/>
        <v>6948445</v>
      </c>
      <c r="R109" s="2">
        <f t="shared" si="2"/>
        <v>5259000</v>
      </c>
      <c r="S109" s="2">
        <f t="shared" si="3"/>
        <v>24.31400299</v>
      </c>
      <c r="T109" s="2">
        <f t="shared" si="4"/>
        <v>7</v>
      </c>
      <c r="U109" s="2">
        <f t="shared" si="9"/>
        <v>99.01142</v>
      </c>
      <c r="V109" s="2">
        <f t="shared" si="6"/>
        <v>76</v>
      </c>
      <c r="W109" s="2">
        <f t="shared" si="7"/>
        <v>24</v>
      </c>
      <c r="X109" s="2">
        <f t="shared" si="8"/>
        <v>3</v>
      </c>
    </row>
    <row r="110">
      <c r="A110" s="1" t="s">
        <v>172</v>
      </c>
      <c r="B110" s="1" t="s">
        <v>37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1">
        <v>99.11122753</v>
      </c>
      <c r="J110" s="1">
        <v>0.8887724684</v>
      </c>
      <c r="K110" s="1">
        <v>0.0</v>
      </c>
      <c r="L110" s="1">
        <v>0.0</v>
      </c>
      <c r="M110" s="1">
        <v>99.88674854</v>
      </c>
      <c r="N110" s="1">
        <v>0.1132514643</v>
      </c>
      <c r="O110" s="1">
        <v>0.0</v>
      </c>
      <c r="P110" s="1">
        <v>0.0</v>
      </c>
      <c r="Q110" s="2">
        <f t="shared" si="1"/>
        <v>7132530</v>
      </c>
      <c r="R110" s="2">
        <f t="shared" si="2"/>
        <v>4435221</v>
      </c>
      <c r="S110" s="2">
        <f t="shared" si="3"/>
        <v>37.81700516</v>
      </c>
      <c r="T110" s="2">
        <f t="shared" si="4"/>
        <v>8</v>
      </c>
      <c r="U110" s="2">
        <f t="shared" si="9"/>
        <v>99.59347</v>
      </c>
      <c r="V110" s="2">
        <f t="shared" si="6"/>
        <v>62</v>
      </c>
      <c r="W110" s="2">
        <f t="shared" si="7"/>
        <v>38</v>
      </c>
      <c r="X110" s="2">
        <f t="shared" si="8"/>
        <v>3</v>
      </c>
    </row>
    <row r="111">
      <c r="A111" s="1" t="s">
        <v>228</v>
      </c>
      <c r="B111" s="1" t="s">
        <v>60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1">
        <v>78.47295942</v>
      </c>
      <c r="J111" s="1">
        <v>5.598583786</v>
      </c>
      <c r="K111" s="1">
        <v>15.0109696</v>
      </c>
      <c r="L111" s="1">
        <v>0.9174871957</v>
      </c>
      <c r="M111" s="1">
        <v>97.06426222</v>
      </c>
      <c r="N111" s="1">
        <v>0.0</v>
      </c>
      <c r="O111" s="1">
        <v>2.935737778</v>
      </c>
      <c r="P111" s="1">
        <v>0.0</v>
      </c>
      <c r="Q111" s="2">
        <f t="shared" si="1"/>
        <v>7275556</v>
      </c>
      <c r="R111" s="2">
        <f t="shared" si="2"/>
        <v>2640299</v>
      </c>
      <c r="S111" s="2">
        <f t="shared" si="3"/>
        <v>63.70999908</v>
      </c>
      <c r="T111" s="2">
        <f t="shared" si="4"/>
        <v>8</v>
      </c>
      <c r="U111" s="2">
        <f t="shared" si="9"/>
        <v>85.21974</v>
      </c>
      <c r="V111" s="2">
        <f t="shared" si="6"/>
        <v>36</v>
      </c>
      <c r="W111" s="2">
        <f t="shared" si="7"/>
        <v>64</v>
      </c>
      <c r="X111" s="2">
        <f t="shared" si="8"/>
        <v>2</v>
      </c>
    </row>
    <row r="112">
      <c r="A112" s="1" t="s">
        <v>78</v>
      </c>
      <c r="B112" s="1" t="s">
        <v>34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1" t="s">
        <v>26</v>
      </c>
      <c r="J112" s="1" t="s">
        <v>26</v>
      </c>
      <c r="K112" s="1" t="s">
        <v>26</v>
      </c>
      <c r="L112" s="1" t="s">
        <v>26</v>
      </c>
      <c r="M112" s="1">
        <v>100.0</v>
      </c>
      <c r="N112" s="1">
        <v>0.0</v>
      </c>
      <c r="O112" s="1">
        <v>0.0</v>
      </c>
      <c r="P112" s="1">
        <v>0.0</v>
      </c>
      <c r="Q112" s="2">
        <f t="shared" si="1"/>
        <v>7496988</v>
      </c>
      <c r="R112" s="2">
        <f t="shared" si="2"/>
        <v>7496988</v>
      </c>
      <c r="S112" s="2">
        <f t="shared" si="3"/>
        <v>0</v>
      </c>
      <c r="T112" s="2">
        <f t="shared" si="4"/>
        <v>8</v>
      </c>
      <c r="U112" s="2">
        <f t="shared" si="9"/>
        <v>100</v>
      </c>
      <c r="V112" s="2">
        <f t="shared" si="6"/>
        <v>100</v>
      </c>
      <c r="W112" s="2">
        <f t="shared" si="7"/>
        <v>0</v>
      </c>
      <c r="X112" s="2">
        <f t="shared" si="8"/>
        <v>4</v>
      </c>
    </row>
    <row r="113">
      <c r="A113" s="1" t="s">
        <v>217</v>
      </c>
      <c r="B113" s="1" t="s">
        <v>59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>
        <v>15.5639457</v>
      </c>
      <c r="H113" s="1">
        <v>11.64645233</v>
      </c>
      <c r="I113" s="1">
        <v>52.75270267</v>
      </c>
      <c r="J113" s="1">
        <v>5.221136889</v>
      </c>
      <c r="K113" s="1">
        <v>23.14294909</v>
      </c>
      <c r="L113" s="1">
        <v>18.88321135</v>
      </c>
      <c r="M113" s="1">
        <v>78.41163766</v>
      </c>
      <c r="N113" s="1">
        <v>14.07927743</v>
      </c>
      <c r="O113" s="1">
        <v>5.485735437</v>
      </c>
      <c r="P113" s="1">
        <v>2.023349475</v>
      </c>
      <c r="Q113" s="2">
        <f t="shared" si="1"/>
        <v>7976985</v>
      </c>
      <c r="R113" s="2">
        <f t="shared" si="2"/>
        <v>3423961</v>
      </c>
      <c r="S113" s="2">
        <f t="shared" si="3"/>
        <v>57.07699966</v>
      </c>
      <c r="T113" s="2">
        <f t="shared" si="4"/>
        <v>8</v>
      </c>
      <c r="U113" s="2">
        <f t="shared" si="9"/>
        <v>63.76629</v>
      </c>
      <c r="V113" s="2">
        <f t="shared" si="6"/>
        <v>43</v>
      </c>
      <c r="W113" s="2">
        <f t="shared" si="7"/>
        <v>57</v>
      </c>
      <c r="X113" s="2">
        <f t="shared" si="8"/>
        <v>1</v>
      </c>
    </row>
    <row r="114">
      <c r="A114" s="1" t="s">
        <v>218</v>
      </c>
      <c r="B114" s="1" t="s">
        <v>59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</v>
      </c>
      <c r="J114" s="1">
        <v>8.187542019</v>
      </c>
      <c r="K114" s="1">
        <v>20.7910842</v>
      </c>
      <c r="L114" s="1">
        <v>18.90382103</v>
      </c>
      <c r="M114" s="1">
        <v>90.58991001</v>
      </c>
      <c r="N114" s="1">
        <v>3.229348056</v>
      </c>
      <c r="O114" s="1">
        <v>5.307990528</v>
      </c>
      <c r="P114" s="1">
        <v>0.8727514049</v>
      </c>
      <c r="Q114" s="2">
        <f t="shared" si="1"/>
        <v>8278737</v>
      </c>
      <c r="R114" s="2">
        <f t="shared" si="2"/>
        <v>3543299</v>
      </c>
      <c r="S114" s="2">
        <f t="shared" si="3"/>
        <v>57.20000076</v>
      </c>
      <c r="T114" s="2">
        <f t="shared" si="4"/>
        <v>9</v>
      </c>
      <c r="U114" s="2">
        <f t="shared" si="9"/>
        <v>68.58372</v>
      </c>
      <c r="V114" s="2">
        <f t="shared" si="6"/>
        <v>43</v>
      </c>
      <c r="W114" s="2">
        <f t="shared" si="7"/>
        <v>57</v>
      </c>
      <c r="X114" s="2">
        <f t="shared" si="8"/>
        <v>1</v>
      </c>
    </row>
    <row r="115">
      <c r="A115" s="1" t="s">
        <v>142</v>
      </c>
      <c r="B115" s="1" t="s">
        <v>34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  <c r="Q115" s="2">
        <f t="shared" si="1"/>
        <v>8654618</v>
      </c>
      <c r="R115" s="2">
        <f t="shared" si="2"/>
        <v>6397061</v>
      </c>
      <c r="S115" s="2">
        <f t="shared" si="3"/>
        <v>26.08499908</v>
      </c>
      <c r="T115" s="2">
        <f t="shared" si="4"/>
        <v>9</v>
      </c>
      <c r="U115" s="2">
        <f t="shared" si="9"/>
        <v>100</v>
      </c>
      <c r="V115" s="2">
        <f t="shared" si="6"/>
        <v>74</v>
      </c>
      <c r="W115" s="2">
        <f t="shared" si="7"/>
        <v>26</v>
      </c>
      <c r="X115" s="2">
        <f t="shared" si="8"/>
        <v>4</v>
      </c>
    </row>
    <row r="116">
      <c r="A116" s="1" t="s">
        <v>91</v>
      </c>
      <c r="B116" s="1" t="s">
        <v>34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  <c r="Q116" s="2">
        <f t="shared" si="1"/>
        <v>8655541</v>
      </c>
      <c r="R116" s="2">
        <f t="shared" si="2"/>
        <v>8013906</v>
      </c>
      <c r="S116" s="2">
        <f t="shared" si="3"/>
        <v>7.41300201</v>
      </c>
      <c r="T116" s="2">
        <f t="shared" si="4"/>
        <v>9</v>
      </c>
      <c r="U116" s="2">
        <f t="shared" si="9"/>
        <v>100</v>
      </c>
      <c r="V116" s="2">
        <f t="shared" si="6"/>
        <v>93</v>
      </c>
      <c r="W116" s="2">
        <f t="shared" si="7"/>
        <v>7</v>
      </c>
      <c r="X116" s="2">
        <f t="shared" si="8"/>
        <v>4</v>
      </c>
    </row>
    <row r="117">
      <c r="A117" s="1" t="s">
        <v>188</v>
      </c>
      <c r="B117" s="1" t="s">
        <v>37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1">
        <v>95.84497475</v>
      </c>
      <c r="J117" s="1">
        <v>3.545864028</v>
      </c>
      <c r="K117" s="1">
        <v>0.5711602866</v>
      </c>
      <c r="L117" s="1">
        <v>0.03800093141</v>
      </c>
      <c r="M117" s="1">
        <v>94.87156989</v>
      </c>
      <c r="N117" s="1">
        <v>4.783037865</v>
      </c>
      <c r="O117" s="1">
        <v>0.3453922445</v>
      </c>
      <c r="P117" s="1">
        <v>0.0</v>
      </c>
      <c r="Q117" s="2">
        <f t="shared" si="1"/>
        <v>8737370</v>
      </c>
      <c r="R117" s="2">
        <f t="shared" si="2"/>
        <v>4931896</v>
      </c>
      <c r="S117" s="2">
        <f t="shared" si="3"/>
        <v>43.55400085</v>
      </c>
      <c r="T117" s="2">
        <f t="shared" si="4"/>
        <v>9</v>
      </c>
      <c r="U117" s="2">
        <f t="shared" si="9"/>
        <v>95.29553</v>
      </c>
      <c r="V117" s="2">
        <f t="shared" si="6"/>
        <v>56</v>
      </c>
      <c r="W117" s="2">
        <f t="shared" si="7"/>
        <v>44</v>
      </c>
      <c r="X117" s="2">
        <f t="shared" si="8"/>
        <v>3</v>
      </c>
    </row>
    <row r="118">
      <c r="A118" s="1" t="s">
        <v>250</v>
      </c>
      <c r="B118" s="1" t="s">
        <v>60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1">
        <v>39.07134367</v>
      </c>
      <c r="J118" s="1">
        <v>2.429850293</v>
      </c>
      <c r="K118" s="1">
        <v>24.43180086</v>
      </c>
      <c r="L118" s="1">
        <v>34.06700517</v>
      </c>
      <c r="M118" s="1">
        <v>86.07527164</v>
      </c>
      <c r="N118" s="1">
        <v>0.1721822608</v>
      </c>
      <c r="O118" s="1">
        <v>7.390385564</v>
      </c>
      <c r="P118" s="1">
        <v>6.362160532</v>
      </c>
      <c r="Q118" s="2">
        <f t="shared" si="1"/>
        <v>8947027</v>
      </c>
      <c r="R118" s="2">
        <f t="shared" si="2"/>
        <v>1193981</v>
      </c>
      <c r="S118" s="2">
        <f t="shared" si="3"/>
        <v>86.65499973</v>
      </c>
      <c r="T118" s="2">
        <f t="shared" si="4"/>
        <v>9</v>
      </c>
      <c r="U118" s="2">
        <f t="shared" si="9"/>
        <v>45.34402</v>
      </c>
      <c r="V118" s="2">
        <f t="shared" si="6"/>
        <v>13</v>
      </c>
      <c r="W118" s="2">
        <f t="shared" si="7"/>
        <v>87</v>
      </c>
      <c r="X118" s="2">
        <f t="shared" si="8"/>
        <v>2</v>
      </c>
    </row>
    <row r="119">
      <c r="A119" s="1" t="s">
        <v>174</v>
      </c>
      <c r="B119" s="1" t="s">
        <v>34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>
        <f t="shared" si="1"/>
        <v>9006400</v>
      </c>
      <c r="R119" s="2">
        <f t="shared" si="2"/>
        <v>5291080</v>
      </c>
      <c r="S119" s="2">
        <f t="shared" si="3"/>
        <v>41.2519989</v>
      </c>
      <c r="T119" s="2">
        <f t="shared" si="4"/>
        <v>10</v>
      </c>
      <c r="U119" s="2">
        <f t="shared" si="9"/>
        <v>100</v>
      </c>
      <c r="V119" s="2">
        <f t="shared" si="6"/>
        <v>59</v>
      </c>
      <c r="W119" s="2">
        <f t="shared" si="7"/>
        <v>41</v>
      </c>
      <c r="X119" s="2">
        <f t="shared" si="8"/>
        <v>4</v>
      </c>
    </row>
    <row r="120">
      <c r="A120" s="1" t="s">
        <v>127</v>
      </c>
      <c r="B120" s="1" t="s">
        <v>37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1">
        <v>98.56412231</v>
      </c>
      <c r="J120" s="1">
        <v>0.9955971951</v>
      </c>
      <c r="K120" s="1">
        <v>0.4402804931</v>
      </c>
      <c r="L120" s="1">
        <v>0.0</v>
      </c>
      <c r="M120" s="1">
        <v>96.01087362</v>
      </c>
      <c r="N120" s="1">
        <v>3.985572644</v>
      </c>
      <c r="O120" s="1">
        <v>0.003553731977</v>
      </c>
      <c r="P120" s="1">
        <v>0.0</v>
      </c>
      <c r="Q120" s="2">
        <f t="shared" si="1"/>
        <v>9449321</v>
      </c>
      <c r="R120" s="2">
        <f t="shared" si="2"/>
        <v>7510604</v>
      </c>
      <c r="S120" s="2">
        <f t="shared" si="3"/>
        <v>20.51699829</v>
      </c>
      <c r="T120" s="2">
        <f t="shared" si="4"/>
        <v>10</v>
      </c>
      <c r="U120" s="2">
        <f t="shared" si="9"/>
        <v>96.53473</v>
      </c>
      <c r="V120" s="2">
        <f t="shared" si="6"/>
        <v>79</v>
      </c>
      <c r="W120" s="2">
        <f t="shared" si="7"/>
        <v>21</v>
      </c>
      <c r="X120" s="2">
        <f t="shared" si="8"/>
        <v>3</v>
      </c>
    </row>
    <row r="121">
      <c r="A121" s="1" t="s">
        <v>237</v>
      </c>
      <c r="B121" s="1" t="s">
        <v>60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1">
        <v>76.6435992</v>
      </c>
      <c r="J121" s="1">
        <v>3.207143928</v>
      </c>
      <c r="K121" s="1">
        <v>4.140706948</v>
      </c>
      <c r="L121" s="1">
        <v>16.00854992</v>
      </c>
      <c r="M121" s="1">
        <v>95.58062386</v>
      </c>
      <c r="N121" s="1">
        <v>0.8848144763</v>
      </c>
      <c r="O121" s="1">
        <v>1.527268323</v>
      </c>
      <c r="P121" s="1">
        <v>2.007293339</v>
      </c>
      <c r="Q121" s="2">
        <f t="shared" si="1"/>
        <v>9537642</v>
      </c>
      <c r="R121" s="2">
        <f t="shared" si="2"/>
        <v>2623424</v>
      </c>
      <c r="S121" s="2">
        <f t="shared" si="3"/>
        <v>72.49400139</v>
      </c>
      <c r="T121" s="2">
        <f t="shared" si="4"/>
        <v>10</v>
      </c>
      <c r="U121" s="2">
        <f t="shared" si="9"/>
        <v>81.85242</v>
      </c>
      <c r="V121" s="2">
        <f t="shared" si="6"/>
        <v>28</v>
      </c>
      <c r="W121" s="2">
        <f t="shared" si="7"/>
        <v>72</v>
      </c>
      <c r="X121" s="2">
        <f t="shared" si="8"/>
        <v>2</v>
      </c>
    </row>
    <row r="122">
      <c r="A122" s="1" t="s">
        <v>144</v>
      </c>
      <c r="B122" s="1" t="s">
        <v>34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1">
        <v>100.0</v>
      </c>
      <c r="J122" s="1">
        <v>0.0</v>
      </c>
      <c r="K122" s="1">
        <v>0.0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  <c r="Q122" s="2">
        <f t="shared" si="1"/>
        <v>9660350</v>
      </c>
      <c r="R122" s="2">
        <f t="shared" si="2"/>
        <v>6949849</v>
      </c>
      <c r="S122" s="2">
        <f t="shared" si="3"/>
        <v>28.05799866</v>
      </c>
      <c r="T122" s="2">
        <f t="shared" si="4"/>
        <v>10</v>
      </c>
      <c r="U122" s="2">
        <f t="shared" si="9"/>
        <v>100</v>
      </c>
      <c r="V122" s="2">
        <f t="shared" si="6"/>
        <v>72</v>
      </c>
      <c r="W122" s="2">
        <f t="shared" si="7"/>
        <v>28</v>
      </c>
      <c r="X122" s="2">
        <f t="shared" si="8"/>
        <v>4</v>
      </c>
    </row>
    <row r="123">
      <c r="A123" s="1" t="s">
        <v>107</v>
      </c>
      <c r="B123" s="1" t="s">
        <v>34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1" t="s">
        <v>26</v>
      </c>
      <c r="J123" s="1" t="s">
        <v>26</v>
      </c>
      <c r="K123" s="1" t="s">
        <v>26</v>
      </c>
      <c r="L123" s="1" t="s">
        <v>26</v>
      </c>
      <c r="M123" s="1" t="s">
        <v>26</v>
      </c>
      <c r="N123" s="1" t="s">
        <v>26</v>
      </c>
      <c r="O123" s="1" t="s">
        <v>26</v>
      </c>
      <c r="P123" s="1" t="s">
        <v>26</v>
      </c>
      <c r="Q123" s="2">
        <f t="shared" si="1"/>
        <v>9890400</v>
      </c>
      <c r="R123" s="2">
        <f t="shared" si="2"/>
        <v>8609395</v>
      </c>
      <c r="S123" s="2">
        <f t="shared" si="3"/>
        <v>12.95200348</v>
      </c>
      <c r="T123" s="2">
        <f t="shared" si="4"/>
        <v>10</v>
      </c>
      <c r="U123" s="2">
        <f t="shared" si="9"/>
        <v>99.9656</v>
      </c>
      <c r="V123" s="2">
        <f t="shared" si="6"/>
        <v>87</v>
      </c>
      <c r="W123" s="2">
        <f t="shared" si="7"/>
        <v>13</v>
      </c>
      <c r="X123" s="2">
        <f t="shared" si="8"/>
        <v>4</v>
      </c>
    </row>
    <row r="124">
      <c r="A124" s="1" t="s">
        <v>179</v>
      </c>
      <c r="B124" s="1" t="s">
        <v>60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1">
        <v>89.87579955</v>
      </c>
      <c r="J124" s="1">
        <v>0.8067095079</v>
      </c>
      <c r="K124" s="1">
        <v>9.317490946</v>
      </c>
      <c r="L124" s="1">
        <v>0.0</v>
      </c>
      <c r="M124" s="1">
        <v>99.83728281</v>
      </c>
      <c r="N124" s="1">
        <v>0.1537015262</v>
      </c>
      <c r="O124" s="1">
        <v>0.009015663296</v>
      </c>
      <c r="P124" s="1">
        <v>0.0</v>
      </c>
      <c r="Q124" s="2">
        <f t="shared" si="1"/>
        <v>9904608</v>
      </c>
      <c r="R124" s="2">
        <f t="shared" si="2"/>
        <v>5780230</v>
      </c>
      <c r="S124" s="2">
        <f t="shared" si="3"/>
        <v>41.64100266</v>
      </c>
      <c r="T124" s="2">
        <f t="shared" si="4"/>
        <v>10</v>
      </c>
      <c r="U124" s="2">
        <f t="shared" si="9"/>
        <v>95.68922</v>
      </c>
      <c r="V124" s="2">
        <f t="shared" si="6"/>
        <v>58</v>
      </c>
      <c r="W124" s="2">
        <f t="shared" si="7"/>
        <v>42</v>
      </c>
      <c r="X124" s="2">
        <f t="shared" si="8"/>
        <v>2</v>
      </c>
    </row>
    <row r="125">
      <c r="A125" s="1" t="s">
        <v>103</v>
      </c>
      <c r="B125" s="1" t="s">
        <v>34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1">
        <v>99.71937474</v>
      </c>
      <c r="J125" s="1">
        <v>0.0</v>
      </c>
      <c r="K125" s="1">
        <v>0.2806252626</v>
      </c>
      <c r="L125" s="1">
        <v>0.0</v>
      </c>
      <c r="M125" s="1">
        <v>99.84155768</v>
      </c>
      <c r="N125" s="1">
        <v>0.0</v>
      </c>
      <c r="O125" s="1">
        <v>0.1584423157</v>
      </c>
      <c r="P125" s="1">
        <v>0.0</v>
      </c>
      <c r="Q125" s="2">
        <f t="shared" si="1"/>
        <v>10099270</v>
      </c>
      <c r="R125" s="2">
        <f t="shared" si="2"/>
        <v>8885035</v>
      </c>
      <c r="S125" s="2">
        <f t="shared" si="3"/>
        <v>12.02300262</v>
      </c>
      <c r="T125" s="2">
        <f t="shared" si="4"/>
        <v>11</v>
      </c>
      <c r="U125" s="2">
        <f t="shared" si="9"/>
        <v>99.82687</v>
      </c>
      <c r="V125" s="2">
        <f t="shared" si="6"/>
        <v>88</v>
      </c>
      <c r="W125" s="2">
        <f t="shared" si="7"/>
        <v>12</v>
      </c>
      <c r="X125" s="2">
        <f t="shared" si="8"/>
        <v>4</v>
      </c>
    </row>
    <row r="126">
      <c r="A126" s="1" t="s">
        <v>186</v>
      </c>
      <c r="B126" s="1" t="s">
        <v>37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1">
        <v>90.92579795</v>
      </c>
      <c r="J126" s="1">
        <v>2.391535671</v>
      </c>
      <c r="K126" s="1">
        <v>6.682666377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  <c r="Q126" s="2">
        <f t="shared" si="1"/>
        <v>10139175</v>
      </c>
      <c r="R126" s="2">
        <f t="shared" si="2"/>
        <v>5718191</v>
      </c>
      <c r="S126" s="2">
        <f t="shared" si="3"/>
        <v>43.60299683</v>
      </c>
      <c r="T126" s="2">
        <f t="shared" si="4"/>
        <v>11</v>
      </c>
      <c r="U126" s="2">
        <f t="shared" si="9"/>
        <v>96.04338</v>
      </c>
      <c r="V126" s="2">
        <f t="shared" si="6"/>
        <v>56</v>
      </c>
      <c r="W126" s="2">
        <f t="shared" si="7"/>
        <v>44</v>
      </c>
      <c r="X126" s="2">
        <f t="shared" si="8"/>
        <v>3</v>
      </c>
    </row>
    <row r="127">
      <c r="A127" s="1" t="s">
        <v>161</v>
      </c>
      <c r="B127" s="1" t="s">
        <v>34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1">
        <v>99.73877609</v>
      </c>
      <c r="J127" s="1">
        <v>0.0</v>
      </c>
      <c r="K127" s="1">
        <v>0.2612239122</v>
      </c>
      <c r="L127" s="1">
        <v>0.0</v>
      </c>
      <c r="M127" s="1">
        <v>100.0</v>
      </c>
      <c r="N127" s="1">
        <v>0.0</v>
      </c>
      <c r="O127" s="1">
        <v>0.0</v>
      </c>
      <c r="P127" s="1">
        <v>0.0</v>
      </c>
      <c r="Q127" s="2">
        <f t="shared" si="1"/>
        <v>10196707</v>
      </c>
      <c r="R127" s="2">
        <f t="shared" si="2"/>
        <v>6761436</v>
      </c>
      <c r="S127" s="2">
        <f t="shared" si="3"/>
        <v>33.69000244</v>
      </c>
      <c r="T127" s="2">
        <f t="shared" si="4"/>
        <v>11</v>
      </c>
      <c r="U127" s="2">
        <f t="shared" si="9"/>
        <v>99.91199</v>
      </c>
      <c r="V127" s="2">
        <f t="shared" si="6"/>
        <v>66</v>
      </c>
      <c r="W127" s="2">
        <f t="shared" si="7"/>
        <v>34</v>
      </c>
      <c r="X127" s="2">
        <f t="shared" si="8"/>
        <v>4</v>
      </c>
    </row>
    <row r="128">
      <c r="A128" s="1" t="s">
        <v>95</v>
      </c>
      <c r="B128" s="1" t="s">
        <v>37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1">
        <v>97.31147869</v>
      </c>
      <c r="J128" s="1">
        <v>0.6239465945</v>
      </c>
      <c r="K128" s="1">
        <v>2.024714716</v>
      </c>
      <c r="L128" s="1">
        <v>0.03986</v>
      </c>
      <c r="M128" s="1">
        <v>99.09321259</v>
      </c>
      <c r="N128" s="1">
        <v>0.1013669408</v>
      </c>
      <c r="O128" s="1">
        <v>0.7437104707</v>
      </c>
      <c r="P128" s="1">
        <v>0.06171</v>
      </c>
      <c r="Q128" s="2">
        <f t="shared" si="1"/>
        <v>10203140</v>
      </c>
      <c r="R128" s="2">
        <f t="shared" si="2"/>
        <v>9327506</v>
      </c>
      <c r="S128" s="2">
        <f t="shared" si="3"/>
        <v>8.58200073</v>
      </c>
      <c r="T128" s="2">
        <f t="shared" si="4"/>
        <v>11</v>
      </c>
      <c r="U128" s="2">
        <f t="shared" si="9"/>
        <v>98.9403</v>
      </c>
      <c r="V128" s="2">
        <f t="shared" si="6"/>
        <v>91</v>
      </c>
      <c r="W128" s="2">
        <f t="shared" si="7"/>
        <v>9</v>
      </c>
      <c r="X128" s="2">
        <f t="shared" si="8"/>
        <v>3</v>
      </c>
    </row>
    <row r="129">
      <c r="A129" s="1" t="s">
        <v>126</v>
      </c>
      <c r="B129" s="1" t="s">
        <v>34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1">
        <v>100.0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  <c r="Q129" s="2">
        <f t="shared" si="1"/>
        <v>10423056</v>
      </c>
      <c r="R129" s="2">
        <f t="shared" si="2"/>
        <v>8308740</v>
      </c>
      <c r="S129" s="2">
        <f t="shared" si="3"/>
        <v>20.28499603</v>
      </c>
      <c r="T129" s="2">
        <f t="shared" si="4"/>
        <v>11</v>
      </c>
      <c r="U129" s="2">
        <f t="shared" si="9"/>
        <v>100</v>
      </c>
      <c r="V129" s="2">
        <f t="shared" si="6"/>
        <v>80</v>
      </c>
      <c r="W129" s="2">
        <f t="shared" si="7"/>
        <v>20</v>
      </c>
      <c r="X129" s="2">
        <f t="shared" si="8"/>
        <v>4</v>
      </c>
    </row>
    <row r="130">
      <c r="A130" s="1" t="s">
        <v>141</v>
      </c>
      <c r="B130" s="1" t="s">
        <v>34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1">
        <v>99.8175993</v>
      </c>
      <c r="J130" s="1">
        <v>0.0</v>
      </c>
      <c r="K130" s="1">
        <v>0.1824006965</v>
      </c>
      <c r="L130" s="1">
        <v>0.0</v>
      </c>
      <c r="M130" s="1">
        <v>99.90265093</v>
      </c>
      <c r="N130" s="1">
        <v>0.0</v>
      </c>
      <c r="O130" s="1">
        <v>0.0973490679</v>
      </c>
      <c r="P130" s="1">
        <v>0.0</v>
      </c>
      <c r="Q130" s="2">
        <f t="shared" si="1"/>
        <v>10708982</v>
      </c>
      <c r="R130" s="2">
        <f t="shared" si="2"/>
        <v>7931180</v>
      </c>
      <c r="S130" s="2">
        <f t="shared" si="3"/>
        <v>25.93899536</v>
      </c>
      <c r="T130" s="2">
        <f t="shared" si="4"/>
        <v>11</v>
      </c>
      <c r="U130" s="2">
        <f t="shared" si="9"/>
        <v>99.88059</v>
      </c>
      <c r="V130" s="2">
        <f t="shared" si="6"/>
        <v>74</v>
      </c>
      <c r="W130" s="2">
        <f t="shared" si="7"/>
        <v>26</v>
      </c>
      <c r="X130" s="2">
        <f t="shared" si="8"/>
        <v>4</v>
      </c>
    </row>
    <row r="131">
      <c r="A131" s="1" t="s">
        <v>114</v>
      </c>
      <c r="B131" s="1" t="s">
        <v>37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1">
        <v>90.30446437</v>
      </c>
      <c r="J131" s="1">
        <v>1.385315508</v>
      </c>
      <c r="K131" s="1">
        <v>1.115118127</v>
      </c>
      <c r="L131" s="1">
        <v>7.195101991</v>
      </c>
      <c r="M131" s="1">
        <v>98.03689158</v>
      </c>
      <c r="N131" s="1">
        <v>0.2727920359</v>
      </c>
      <c r="O131" s="1">
        <v>1.302073396</v>
      </c>
      <c r="P131" s="1">
        <v>0.3882429922</v>
      </c>
      <c r="Q131" s="2">
        <f t="shared" si="1"/>
        <v>10847904</v>
      </c>
      <c r="R131" s="2">
        <f t="shared" si="2"/>
        <v>8953860</v>
      </c>
      <c r="S131" s="2">
        <f t="shared" si="3"/>
        <v>17.45999908</v>
      </c>
      <c r="T131" s="2">
        <f t="shared" si="4"/>
        <v>11</v>
      </c>
      <c r="U131" s="2">
        <f t="shared" si="9"/>
        <v>96.68681</v>
      </c>
      <c r="V131" s="2">
        <f t="shared" si="6"/>
        <v>83</v>
      </c>
      <c r="W131" s="2">
        <f t="shared" si="7"/>
        <v>17</v>
      </c>
      <c r="X131" s="2">
        <f t="shared" si="8"/>
        <v>3</v>
      </c>
    </row>
    <row r="132">
      <c r="A132" s="1" t="s">
        <v>244</v>
      </c>
      <c r="B132" s="1" t="s">
        <v>59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1">
        <v>33.59362881</v>
      </c>
      <c r="J132" s="1">
        <v>42.16438068</v>
      </c>
      <c r="K132" s="1">
        <v>14.11109616</v>
      </c>
      <c r="L132" s="1">
        <v>10.13089435</v>
      </c>
      <c r="M132" s="1">
        <v>70.01770445</v>
      </c>
      <c r="N132" s="1">
        <v>18.71066092</v>
      </c>
      <c r="O132" s="1">
        <v>11.27163464</v>
      </c>
      <c r="P132" s="1">
        <v>0.0</v>
      </c>
      <c r="Q132" s="2">
        <f t="shared" si="1"/>
        <v>11193729</v>
      </c>
      <c r="R132" s="2">
        <f t="shared" si="2"/>
        <v>2261021</v>
      </c>
      <c r="S132" s="2">
        <f t="shared" si="3"/>
        <v>79.8010006</v>
      </c>
      <c r="T132" s="2">
        <f t="shared" si="4"/>
        <v>12</v>
      </c>
      <c r="U132" s="2">
        <f t="shared" si="9"/>
        <v>40.95093</v>
      </c>
      <c r="V132" s="2">
        <f t="shared" si="6"/>
        <v>20</v>
      </c>
      <c r="W132" s="2">
        <f t="shared" si="7"/>
        <v>80</v>
      </c>
      <c r="X132" s="2">
        <f t="shared" si="8"/>
        <v>1</v>
      </c>
    </row>
    <row r="133">
      <c r="A133" s="1" t="s">
        <v>131</v>
      </c>
      <c r="B133" s="1" t="s">
        <v>37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1">
        <v>94.38665114</v>
      </c>
      <c r="J133" s="1">
        <v>2.591752445</v>
      </c>
      <c r="K133" s="1">
        <v>1.905972935</v>
      </c>
      <c r="L133" s="1">
        <v>1.115623477</v>
      </c>
      <c r="M133" s="1">
        <v>97.77557664</v>
      </c>
      <c r="N133" s="1">
        <v>1.1403859</v>
      </c>
      <c r="O133" s="1">
        <v>1.059840374</v>
      </c>
      <c r="P133" s="1">
        <v>0.02419708411</v>
      </c>
      <c r="Q133" s="2">
        <f t="shared" si="1"/>
        <v>11326616</v>
      </c>
      <c r="R133" s="2">
        <f t="shared" si="2"/>
        <v>8743468</v>
      </c>
      <c r="S133" s="2">
        <f t="shared" si="3"/>
        <v>22.80599976</v>
      </c>
      <c r="T133" s="2">
        <f t="shared" si="4"/>
        <v>12</v>
      </c>
      <c r="U133" s="2">
        <f t="shared" si="9"/>
        <v>97.0027</v>
      </c>
      <c r="V133" s="2">
        <f t="shared" si="6"/>
        <v>77</v>
      </c>
      <c r="W133" s="2">
        <f t="shared" si="7"/>
        <v>23</v>
      </c>
      <c r="X133" s="2">
        <f t="shared" si="8"/>
        <v>3</v>
      </c>
    </row>
    <row r="134">
      <c r="A134" s="1" t="s">
        <v>184</v>
      </c>
      <c r="B134" s="1" t="s">
        <v>60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1">
        <v>42.8457001</v>
      </c>
      <c r="J134" s="1">
        <v>13.25598695</v>
      </c>
      <c r="K134" s="1">
        <v>43.89831295</v>
      </c>
      <c r="L134" s="1">
        <v>0.0</v>
      </c>
      <c r="M134" s="1">
        <v>84.62262129</v>
      </c>
      <c r="N134" s="1">
        <v>7.227673879</v>
      </c>
      <c r="O134" s="1">
        <v>8.149704835</v>
      </c>
      <c r="P134" s="1">
        <v>0.0</v>
      </c>
      <c r="Q134" s="2">
        <f t="shared" si="1"/>
        <v>11402533</v>
      </c>
      <c r="R134" s="2">
        <f t="shared" si="2"/>
        <v>6509478</v>
      </c>
      <c r="S134" s="2">
        <f t="shared" si="3"/>
        <v>42.91200256</v>
      </c>
      <c r="T134" s="2">
        <f t="shared" si="4"/>
        <v>12</v>
      </c>
      <c r="U134" s="2">
        <f t="shared" si="9"/>
        <v>66.69531</v>
      </c>
      <c r="V134" s="2">
        <f t="shared" si="6"/>
        <v>57</v>
      </c>
      <c r="W134" s="2">
        <f t="shared" si="7"/>
        <v>43</v>
      </c>
      <c r="X134" s="2">
        <f t="shared" si="8"/>
        <v>2</v>
      </c>
    </row>
    <row r="135">
      <c r="A135" s="1" t="s">
        <v>86</v>
      </c>
      <c r="B135" s="1" t="s">
        <v>34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  <c r="Q135" s="2">
        <f t="shared" si="1"/>
        <v>11589616</v>
      </c>
      <c r="R135" s="2">
        <f t="shared" si="2"/>
        <v>11366979</v>
      </c>
      <c r="S135" s="2">
        <f t="shared" si="3"/>
        <v>1.92100525</v>
      </c>
      <c r="T135" s="2">
        <f t="shared" si="4"/>
        <v>12</v>
      </c>
      <c r="U135" s="2">
        <f t="shared" si="9"/>
        <v>100</v>
      </c>
      <c r="V135" s="2">
        <f t="shared" si="6"/>
        <v>98</v>
      </c>
      <c r="W135" s="2">
        <f t="shared" si="7"/>
        <v>2</v>
      </c>
      <c r="X135" s="2">
        <f t="shared" si="8"/>
        <v>4</v>
      </c>
    </row>
    <row r="136">
      <c r="A136" s="1" t="s">
        <v>148</v>
      </c>
      <c r="B136" s="1" t="s">
        <v>60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1">
        <v>79.93664283</v>
      </c>
      <c r="J136" s="1">
        <v>0.2447364082</v>
      </c>
      <c r="K136" s="1">
        <v>3.954133693</v>
      </c>
      <c r="L136" s="1">
        <v>15.86448707</v>
      </c>
      <c r="M136" s="1">
        <v>99.12211832</v>
      </c>
      <c r="N136" s="1">
        <v>0.09051328947</v>
      </c>
      <c r="O136" s="1">
        <v>0.5613453808</v>
      </c>
      <c r="P136" s="1">
        <v>0.2260230112</v>
      </c>
      <c r="Q136" s="2">
        <f t="shared" si="1"/>
        <v>11673029</v>
      </c>
      <c r="R136" s="2">
        <f t="shared" si="2"/>
        <v>8185478</v>
      </c>
      <c r="S136" s="2">
        <f t="shared" si="3"/>
        <v>29.8769989</v>
      </c>
      <c r="T136" s="2">
        <f t="shared" si="4"/>
        <v>12</v>
      </c>
      <c r="U136" s="2">
        <f t="shared" si="9"/>
        <v>93.39007</v>
      </c>
      <c r="V136" s="2">
        <f t="shared" si="6"/>
        <v>70</v>
      </c>
      <c r="W136" s="2">
        <f t="shared" si="7"/>
        <v>30</v>
      </c>
      <c r="X136" s="2">
        <f t="shared" si="8"/>
        <v>2</v>
      </c>
    </row>
    <row r="137">
      <c r="A137" s="1" t="s">
        <v>149</v>
      </c>
      <c r="B137" s="1" t="s">
        <v>60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1">
        <v>93.93623193</v>
      </c>
      <c r="J137" s="1">
        <v>3.351687357</v>
      </c>
      <c r="K137" s="1">
        <v>2.71208071</v>
      </c>
      <c r="L137" s="1">
        <v>0.0</v>
      </c>
      <c r="M137" s="1">
        <v>99.12119763</v>
      </c>
      <c r="N137" s="1">
        <v>0.8788023684</v>
      </c>
      <c r="O137" s="1">
        <v>0.0</v>
      </c>
      <c r="P137" s="1">
        <v>0.0</v>
      </c>
      <c r="Q137" s="2">
        <f t="shared" si="1"/>
        <v>11818618</v>
      </c>
      <c r="R137" s="2">
        <f t="shared" si="2"/>
        <v>8221976</v>
      </c>
      <c r="S137" s="2">
        <f t="shared" si="3"/>
        <v>30.43199921</v>
      </c>
      <c r="T137" s="2">
        <f t="shared" si="4"/>
        <v>12</v>
      </c>
      <c r="U137" s="2">
        <f t="shared" si="9"/>
        <v>97.54331</v>
      </c>
      <c r="V137" s="2">
        <f t="shared" si="6"/>
        <v>70</v>
      </c>
      <c r="W137" s="2">
        <f t="shared" si="7"/>
        <v>30</v>
      </c>
      <c r="X137" s="2">
        <f t="shared" si="8"/>
        <v>2</v>
      </c>
    </row>
    <row r="138">
      <c r="A138" s="1" t="s">
        <v>249</v>
      </c>
      <c r="B138" s="1" t="s">
        <v>59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1">
        <v>57.68576527</v>
      </c>
      <c r="J138" s="1">
        <v>21.25148213</v>
      </c>
      <c r="K138" s="1">
        <v>16.89675238</v>
      </c>
      <c r="L138" s="1">
        <v>4.166000219</v>
      </c>
      <c r="M138" s="1">
        <v>90.66911086</v>
      </c>
      <c r="N138" s="1">
        <v>8.034462869</v>
      </c>
      <c r="O138" s="1">
        <v>1.296426269</v>
      </c>
      <c r="P138" s="1">
        <v>0.0</v>
      </c>
      <c r="Q138" s="2">
        <f t="shared" si="1"/>
        <v>11890781</v>
      </c>
      <c r="R138" s="2">
        <f t="shared" si="2"/>
        <v>1629988</v>
      </c>
      <c r="S138" s="2">
        <f t="shared" si="3"/>
        <v>86.29199982</v>
      </c>
      <c r="T138" s="2">
        <f t="shared" si="4"/>
        <v>12</v>
      </c>
      <c r="U138" s="2">
        <f t="shared" si="9"/>
        <v>62.20712</v>
      </c>
      <c r="V138" s="2">
        <f t="shared" si="6"/>
        <v>14</v>
      </c>
      <c r="W138" s="2">
        <f t="shared" si="7"/>
        <v>86</v>
      </c>
      <c r="X138" s="2">
        <f t="shared" si="8"/>
        <v>1</v>
      </c>
    </row>
    <row r="139">
      <c r="A139" s="1" t="s">
        <v>205</v>
      </c>
      <c r="B139" s="1" t="s">
        <v>60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1">
        <v>58.05226799</v>
      </c>
      <c r="J139" s="1">
        <v>12.70520504</v>
      </c>
      <c r="K139" s="1">
        <v>23.97796833</v>
      </c>
      <c r="L139" s="1">
        <v>5.264558634</v>
      </c>
      <c r="M139" s="1">
        <v>73.25800004</v>
      </c>
      <c r="N139" s="1">
        <v>5.708056353</v>
      </c>
      <c r="O139" s="1">
        <v>19.83580681</v>
      </c>
      <c r="P139" s="1">
        <v>1.198136794</v>
      </c>
      <c r="Q139" s="2">
        <f t="shared" si="1"/>
        <v>12123198</v>
      </c>
      <c r="R139" s="2">
        <f t="shared" si="2"/>
        <v>5869446</v>
      </c>
      <c r="S139" s="2">
        <f t="shared" si="3"/>
        <v>51.5850029</v>
      </c>
      <c r="T139" s="2">
        <f t="shared" si="4"/>
        <v>13</v>
      </c>
      <c r="U139" s="2">
        <f t="shared" si="9"/>
        <v>65.41412</v>
      </c>
      <c r="V139" s="2">
        <f t="shared" si="6"/>
        <v>48</v>
      </c>
      <c r="W139" s="2">
        <f t="shared" si="7"/>
        <v>52</v>
      </c>
      <c r="X139" s="2">
        <f t="shared" si="8"/>
        <v>2</v>
      </c>
    </row>
    <row r="140">
      <c r="A140" s="1" t="s">
        <v>248</v>
      </c>
      <c r="B140" s="1" t="s">
        <v>59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1">
        <v>55.64246823</v>
      </c>
      <c r="J140" s="1">
        <v>25.08014133</v>
      </c>
      <c r="K140" s="1">
        <v>14.77886772</v>
      </c>
      <c r="L140" s="1">
        <v>4.498522714</v>
      </c>
      <c r="M140" s="1">
        <v>83.0175993</v>
      </c>
      <c r="N140" s="1">
        <v>9.250506251</v>
      </c>
      <c r="O140" s="1">
        <v>5.462303057</v>
      </c>
      <c r="P140" s="1">
        <v>2.269591394</v>
      </c>
      <c r="Q140" s="2">
        <f t="shared" si="1"/>
        <v>12952209</v>
      </c>
      <c r="R140" s="2">
        <f t="shared" si="2"/>
        <v>2257829</v>
      </c>
      <c r="S140" s="2">
        <f t="shared" si="3"/>
        <v>82.56799889</v>
      </c>
      <c r="T140" s="2">
        <f t="shared" si="4"/>
        <v>13</v>
      </c>
      <c r="U140" s="2">
        <f t="shared" si="9"/>
        <v>60.4145</v>
      </c>
      <c r="V140" s="2">
        <f t="shared" si="6"/>
        <v>17</v>
      </c>
      <c r="W140" s="2">
        <f t="shared" si="7"/>
        <v>83</v>
      </c>
      <c r="X140" s="2">
        <f t="shared" si="8"/>
        <v>1</v>
      </c>
    </row>
    <row r="141">
      <c r="A141" s="1" t="s">
        <v>223</v>
      </c>
      <c r="B141" s="1" t="s">
        <v>59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1">
        <v>50.74817899</v>
      </c>
      <c r="J141" s="1">
        <v>26.14432944</v>
      </c>
      <c r="K141" s="1">
        <v>9.704719143</v>
      </c>
      <c r="L141" s="1">
        <v>13.40277243</v>
      </c>
      <c r="M141" s="1">
        <v>86.58169007</v>
      </c>
      <c r="N141" s="1">
        <v>12.95724153</v>
      </c>
      <c r="O141" s="1">
        <v>0.461068398</v>
      </c>
      <c r="P141" s="1">
        <v>0.0</v>
      </c>
      <c r="Q141" s="2">
        <f t="shared" si="1"/>
        <v>13132792</v>
      </c>
      <c r="R141" s="2">
        <f t="shared" si="2"/>
        <v>4842717</v>
      </c>
      <c r="S141" s="2">
        <f t="shared" si="3"/>
        <v>63.125</v>
      </c>
      <c r="T141" s="2">
        <f t="shared" si="4"/>
        <v>14</v>
      </c>
      <c r="U141" s="2">
        <f t="shared" si="9"/>
        <v>63.96179</v>
      </c>
      <c r="V141" s="2">
        <f t="shared" si="6"/>
        <v>37</v>
      </c>
      <c r="W141" s="2">
        <f t="shared" si="7"/>
        <v>63</v>
      </c>
      <c r="X141" s="2">
        <f t="shared" si="8"/>
        <v>1</v>
      </c>
    </row>
    <row r="142">
      <c r="A142" s="1" t="s">
        <v>232</v>
      </c>
      <c r="B142" s="1" t="s">
        <v>60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1">
        <v>48.28242885</v>
      </c>
      <c r="J142" s="1">
        <v>18.59098467</v>
      </c>
      <c r="K142" s="1">
        <v>23.01364655</v>
      </c>
      <c r="L142" s="1">
        <v>10.11293992</v>
      </c>
      <c r="M142" s="1">
        <v>92.89512895</v>
      </c>
      <c r="N142" s="1">
        <v>4.964517757</v>
      </c>
      <c r="O142" s="1">
        <v>2.122298674</v>
      </c>
      <c r="P142" s="1">
        <v>0.01805461538</v>
      </c>
      <c r="Q142" s="2">
        <f t="shared" si="1"/>
        <v>14862927</v>
      </c>
      <c r="R142" s="2">
        <f t="shared" si="2"/>
        <v>4792105</v>
      </c>
      <c r="S142" s="2">
        <f t="shared" si="3"/>
        <v>67.75799942</v>
      </c>
      <c r="T142" s="2">
        <f t="shared" si="4"/>
        <v>15</v>
      </c>
      <c r="U142" s="2">
        <f t="shared" si="9"/>
        <v>62.66646</v>
      </c>
      <c r="V142" s="2">
        <f t="shared" si="6"/>
        <v>32</v>
      </c>
      <c r="W142" s="2">
        <f t="shared" si="7"/>
        <v>68</v>
      </c>
      <c r="X142" s="2">
        <f t="shared" si="8"/>
        <v>2</v>
      </c>
    </row>
    <row r="143">
      <c r="A143" s="1" t="s">
        <v>210</v>
      </c>
      <c r="B143" s="1" t="s">
        <v>59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1">
        <v>37.07586282</v>
      </c>
      <c r="J143" s="1">
        <v>36.64324958</v>
      </c>
      <c r="K143" s="1">
        <v>21.82149546</v>
      </c>
      <c r="L143" s="1">
        <v>4.459392143</v>
      </c>
      <c r="M143" s="1">
        <v>79.12330574</v>
      </c>
      <c r="N143" s="1">
        <v>17.26991556</v>
      </c>
      <c r="O143" s="1">
        <v>3.606778703</v>
      </c>
      <c r="P143" s="1">
        <v>0.0</v>
      </c>
      <c r="Q143" s="2">
        <f t="shared" si="1"/>
        <v>15893219</v>
      </c>
      <c r="R143" s="2">
        <f t="shared" si="2"/>
        <v>7333290</v>
      </c>
      <c r="S143" s="2">
        <f t="shared" si="3"/>
        <v>53.85900116</v>
      </c>
      <c r="T143" s="2">
        <f t="shared" si="4"/>
        <v>16</v>
      </c>
      <c r="U143" s="2">
        <f t="shared" si="9"/>
        <v>56.47697</v>
      </c>
      <c r="V143" s="2">
        <f t="shared" si="6"/>
        <v>46</v>
      </c>
      <c r="W143" s="2">
        <f t="shared" si="7"/>
        <v>54</v>
      </c>
      <c r="X143" s="2">
        <f t="shared" si="8"/>
        <v>1</v>
      </c>
    </row>
    <row r="144">
      <c r="A144" s="1" t="s">
        <v>241</v>
      </c>
      <c r="B144" s="1" t="s">
        <v>59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1">
        <v>37.57521525</v>
      </c>
      <c r="J144" s="1">
        <v>14.35396111</v>
      </c>
      <c r="K144" s="1">
        <v>38.52496761</v>
      </c>
      <c r="L144" s="1">
        <v>9.545856027</v>
      </c>
      <c r="M144" s="1">
        <v>74.19222309</v>
      </c>
      <c r="N144" s="1">
        <v>15.99651381</v>
      </c>
      <c r="O144" s="1">
        <v>8.922452721</v>
      </c>
      <c r="P144" s="1">
        <v>0.8888103843</v>
      </c>
      <c r="Q144" s="2">
        <f t="shared" si="1"/>
        <v>16425859</v>
      </c>
      <c r="R144" s="2">
        <f t="shared" si="2"/>
        <v>3863362</v>
      </c>
      <c r="S144" s="2">
        <f t="shared" si="3"/>
        <v>76.47999954</v>
      </c>
      <c r="T144" s="2">
        <f t="shared" si="4"/>
        <v>17</v>
      </c>
      <c r="U144" s="2">
        <f t="shared" si="9"/>
        <v>46.18753</v>
      </c>
      <c r="V144" s="2">
        <f t="shared" si="6"/>
        <v>24</v>
      </c>
      <c r="W144" s="2">
        <f t="shared" si="7"/>
        <v>76</v>
      </c>
      <c r="X144" s="2">
        <f t="shared" si="8"/>
        <v>1</v>
      </c>
    </row>
    <row r="145">
      <c r="A145" s="1" t="s">
        <v>240</v>
      </c>
      <c r="B145" s="1" t="s">
        <v>60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1">
        <v>65.06715583</v>
      </c>
      <c r="J145" s="1">
        <v>15.51772278</v>
      </c>
      <c r="K145" s="1">
        <v>7.492899307</v>
      </c>
      <c r="L145" s="1">
        <v>11.92222209</v>
      </c>
      <c r="M145" s="1">
        <v>90.45807717</v>
      </c>
      <c r="N145" s="1">
        <v>8.85091472</v>
      </c>
      <c r="O145" s="1">
        <v>0.0</v>
      </c>
      <c r="P145" s="1">
        <v>0.6910081144</v>
      </c>
      <c r="Q145" s="2">
        <f t="shared" si="1"/>
        <v>16718971</v>
      </c>
      <c r="R145" s="2">
        <f t="shared" si="2"/>
        <v>4051341</v>
      </c>
      <c r="S145" s="2">
        <f t="shared" si="3"/>
        <v>75.76799965</v>
      </c>
      <c r="T145" s="2">
        <f t="shared" si="4"/>
        <v>17</v>
      </c>
      <c r="U145" s="2">
        <f t="shared" si="9"/>
        <v>71.21988</v>
      </c>
      <c r="V145" s="2">
        <f t="shared" si="6"/>
        <v>24</v>
      </c>
      <c r="W145" s="2">
        <f t="shared" si="7"/>
        <v>76</v>
      </c>
      <c r="X145" s="2">
        <f t="shared" si="8"/>
        <v>2</v>
      </c>
    </row>
    <row r="146">
      <c r="A146" s="1" t="s">
        <v>206</v>
      </c>
      <c r="B146" s="1" t="s">
        <v>60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1">
        <v>75.2429282</v>
      </c>
      <c r="J146" s="1">
        <v>4.052382433</v>
      </c>
      <c r="K146" s="1">
        <v>20.51245174</v>
      </c>
      <c r="L146" s="1">
        <v>0.1922376314</v>
      </c>
      <c r="M146" s="1">
        <v>95.32170094</v>
      </c>
      <c r="N146" s="1">
        <v>0.5920836567</v>
      </c>
      <c r="O146" s="1">
        <v>4.086215402</v>
      </c>
      <c r="P146" s="1">
        <v>0.0</v>
      </c>
      <c r="Q146" s="2">
        <f t="shared" si="1"/>
        <v>16743930</v>
      </c>
      <c r="R146" s="2">
        <f t="shared" si="2"/>
        <v>8057514</v>
      </c>
      <c r="S146" s="2">
        <f t="shared" si="3"/>
        <v>51.87799835</v>
      </c>
      <c r="T146" s="2">
        <f t="shared" si="4"/>
        <v>17</v>
      </c>
      <c r="U146" s="2">
        <f t="shared" si="9"/>
        <v>84.90524</v>
      </c>
      <c r="V146" s="2">
        <f t="shared" si="6"/>
        <v>48</v>
      </c>
      <c r="W146" s="2">
        <f t="shared" si="7"/>
        <v>52</v>
      </c>
      <c r="X146" s="2">
        <f t="shared" si="8"/>
        <v>2</v>
      </c>
    </row>
    <row r="147">
      <c r="A147" s="1" t="s">
        <v>94</v>
      </c>
      <c r="B147" s="1" t="s">
        <v>34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1">
        <v>100.0</v>
      </c>
      <c r="J147" s="1">
        <v>0.0</v>
      </c>
      <c r="K147" s="1">
        <v>0.0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  <c r="Q147" s="2">
        <f t="shared" si="1"/>
        <v>17134873</v>
      </c>
      <c r="R147" s="2">
        <f t="shared" si="2"/>
        <v>15804521</v>
      </c>
      <c r="S147" s="2">
        <f t="shared" si="3"/>
        <v>7.76399994</v>
      </c>
      <c r="T147" s="2">
        <f t="shared" si="4"/>
        <v>18</v>
      </c>
      <c r="U147" s="2">
        <f t="shared" si="9"/>
        <v>100</v>
      </c>
      <c r="V147" s="2">
        <f t="shared" si="6"/>
        <v>92</v>
      </c>
      <c r="W147" s="2">
        <f t="shared" si="7"/>
        <v>8</v>
      </c>
      <c r="X147" s="2">
        <f t="shared" si="8"/>
        <v>4</v>
      </c>
    </row>
    <row r="148">
      <c r="A148" s="1" t="s">
        <v>191</v>
      </c>
      <c r="B148" s="1" t="s">
        <v>59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1">
        <v>92.082745</v>
      </c>
      <c r="J148" s="1">
        <v>7.917255</v>
      </c>
      <c r="K148" s="1">
        <v>0.0</v>
      </c>
      <c r="L148" s="1">
        <v>0.0</v>
      </c>
      <c r="M148" s="1">
        <v>95.40516436</v>
      </c>
      <c r="N148" s="1">
        <v>4.233570117</v>
      </c>
      <c r="O148" s="1">
        <v>0.361265525</v>
      </c>
      <c r="P148" s="1">
        <v>0.0</v>
      </c>
      <c r="Q148" s="2">
        <f t="shared" si="1"/>
        <v>17500656</v>
      </c>
      <c r="R148" s="2">
        <f t="shared" si="2"/>
        <v>9708489</v>
      </c>
      <c r="S148" s="2">
        <f t="shared" si="3"/>
        <v>44.52499771</v>
      </c>
      <c r="T148" s="2">
        <f t="shared" si="4"/>
        <v>18</v>
      </c>
      <c r="U148" s="2">
        <f t="shared" si="9"/>
        <v>93.92586</v>
      </c>
      <c r="V148" s="2">
        <f t="shared" si="6"/>
        <v>55</v>
      </c>
      <c r="W148" s="2">
        <f t="shared" si="7"/>
        <v>45</v>
      </c>
      <c r="X148" s="2">
        <f t="shared" si="8"/>
        <v>1</v>
      </c>
    </row>
    <row r="149">
      <c r="A149" s="1" t="s">
        <v>163</v>
      </c>
      <c r="B149" s="1" t="s">
        <v>37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1">
        <v>87.05074495</v>
      </c>
      <c r="J149" s="1">
        <v>0.009631811022</v>
      </c>
      <c r="K149" s="1">
        <v>7.26819549</v>
      </c>
      <c r="L149" s="1">
        <v>5.671427747</v>
      </c>
      <c r="M149" s="1">
        <v>100.0</v>
      </c>
      <c r="N149" s="1">
        <v>0.0</v>
      </c>
      <c r="O149" s="1">
        <v>0.0</v>
      </c>
      <c r="P149" s="1">
        <v>0.0</v>
      </c>
      <c r="Q149" s="2">
        <f t="shared" si="1"/>
        <v>17643061</v>
      </c>
      <c r="R149" s="2">
        <f t="shared" si="2"/>
        <v>11320847</v>
      </c>
      <c r="S149" s="2">
        <f t="shared" si="3"/>
        <v>35.83399963</v>
      </c>
      <c r="T149" s="2">
        <f t="shared" si="4"/>
        <v>18</v>
      </c>
      <c r="U149" s="2">
        <f t="shared" si="9"/>
        <v>95.35976</v>
      </c>
      <c r="V149" s="2">
        <f t="shared" si="6"/>
        <v>64</v>
      </c>
      <c r="W149" s="2">
        <f t="shared" si="7"/>
        <v>36</v>
      </c>
      <c r="X149" s="2">
        <f t="shared" si="8"/>
        <v>3</v>
      </c>
    </row>
    <row r="150">
      <c r="A150" s="1" t="s">
        <v>198</v>
      </c>
      <c r="B150" s="1" t="s">
        <v>37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1">
        <v>90.1193298</v>
      </c>
      <c r="J150" s="1">
        <v>1.849169999</v>
      </c>
      <c r="K150" s="1">
        <v>4.583438691</v>
      </c>
      <c r="L150" s="1">
        <v>3.448061508</v>
      </c>
      <c r="M150" s="1">
        <v>97.61816944</v>
      </c>
      <c r="N150" s="1">
        <v>0.2768660057</v>
      </c>
      <c r="O150" s="1">
        <v>1.94525887</v>
      </c>
      <c r="P150" s="1">
        <v>0.1597056849</v>
      </c>
      <c r="Q150" s="2">
        <f t="shared" si="1"/>
        <v>17915566</v>
      </c>
      <c r="R150" s="2">
        <f t="shared" si="2"/>
        <v>9286713</v>
      </c>
      <c r="S150" s="2">
        <f t="shared" si="3"/>
        <v>48.16400146</v>
      </c>
      <c r="T150" s="2">
        <f t="shared" si="4"/>
        <v>18</v>
      </c>
      <c r="U150" s="2">
        <f t="shared" si="9"/>
        <v>94.00643</v>
      </c>
      <c r="V150" s="2">
        <f t="shared" si="6"/>
        <v>52</v>
      </c>
      <c r="W150" s="2">
        <f t="shared" si="7"/>
        <v>48</v>
      </c>
      <c r="X150" s="2">
        <f t="shared" si="8"/>
        <v>3</v>
      </c>
    </row>
    <row r="151">
      <c r="A151" s="1" t="s">
        <v>211</v>
      </c>
      <c r="B151" s="1" t="s">
        <v>59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1">
        <v>48.22728833</v>
      </c>
      <c r="J151" s="1">
        <v>8.331703613</v>
      </c>
      <c r="K151" s="1">
        <v>31.60865444</v>
      </c>
      <c r="L151" s="1">
        <v>11.83235362</v>
      </c>
      <c r="M151" s="1">
        <v>86.73385466</v>
      </c>
      <c r="N151" s="1">
        <v>3.451996194</v>
      </c>
      <c r="O151" s="1">
        <v>9.130414105</v>
      </c>
      <c r="P151" s="1">
        <v>0.6837350463</v>
      </c>
      <c r="Q151" s="2">
        <f t="shared" si="1"/>
        <v>18383955</v>
      </c>
      <c r="R151" s="2">
        <f t="shared" si="2"/>
        <v>8204575</v>
      </c>
      <c r="S151" s="2">
        <f t="shared" si="3"/>
        <v>55.3710022</v>
      </c>
      <c r="T151" s="2">
        <f t="shared" si="4"/>
        <v>19</v>
      </c>
      <c r="U151" s="2">
        <f t="shared" si="9"/>
        <v>65.41238</v>
      </c>
      <c r="V151" s="2">
        <f t="shared" si="6"/>
        <v>45</v>
      </c>
      <c r="W151" s="2">
        <f t="shared" si="7"/>
        <v>55</v>
      </c>
      <c r="X151" s="2">
        <f t="shared" si="8"/>
        <v>1</v>
      </c>
    </row>
    <row r="152">
      <c r="A152" s="1" t="s">
        <v>180</v>
      </c>
      <c r="B152" s="1" t="s">
        <v>37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1">
        <v>91.93925234</v>
      </c>
      <c r="J152" s="1">
        <v>1.862616064</v>
      </c>
      <c r="K152" s="1">
        <v>6.014693049</v>
      </c>
      <c r="L152" s="1">
        <v>0.1834385438</v>
      </c>
      <c r="M152" s="1">
        <v>98.00073133</v>
      </c>
      <c r="N152" s="1">
        <v>1.999268673</v>
      </c>
      <c r="O152" s="1">
        <v>0.0</v>
      </c>
      <c r="P152" s="1">
        <v>0.0</v>
      </c>
      <c r="Q152" s="2">
        <f t="shared" si="1"/>
        <v>18776707</v>
      </c>
      <c r="R152" s="2">
        <f t="shared" si="2"/>
        <v>10828715</v>
      </c>
      <c r="S152" s="2">
        <f t="shared" si="3"/>
        <v>42.32899857</v>
      </c>
      <c r="T152" s="2">
        <f t="shared" si="4"/>
        <v>19</v>
      </c>
      <c r="U152" s="2">
        <f t="shared" si="9"/>
        <v>95.43497</v>
      </c>
      <c r="V152" s="2">
        <f t="shared" si="6"/>
        <v>58</v>
      </c>
      <c r="W152" s="2">
        <f t="shared" si="7"/>
        <v>42</v>
      </c>
      <c r="X152" s="2">
        <f t="shared" si="8"/>
        <v>3</v>
      </c>
    </row>
    <row r="153">
      <c r="A153" s="1" t="s">
        <v>101</v>
      </c>
      <c r="B153" s="1" t="s">
        <v>34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  <c r="Q153" s="2">
        <f t="shared" si="1"/>
        <v>19116209</v>
      </c>
      <c r="R153" s="2">
        <f t="shared" si="2"/>
        <v>16770076</v>
      </c>
      <c r="S153" s="2">
        <f t="shared" si="3"/>
        <v>12.27300262</v>
      </c>
      <c r="T153" s="2">
        <f t="shared" si="4"/>
        <v>20</v>
      </c>
      <c r="U153" s="2">
        <f t="shared" si="9"/>
        <v>100</v>
      </c>
      <c r="V153" s="2">
        <f t="shared" si="6"/>
        <v>88</v>
      </c>
      <c r="W153" s="2">
        <f t="shared" si="7"/>
        <v>12</v>
      </c>
      <c r="X153" s="2">
        <f t="shared" si="8"/>
        <v>4</v>
      </c>
    </row>
    <row r="154">
      <c r="A154" s="1" t="s">
        <v>246</v>
      </c>
      <c r="B154" s="1" t="s">
        <v>59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1">
        <v>66.58504376</v>
      </c>
      <c r="J154" s="1">
        <v>24.41415803</v>
      </c>
      <c r="K154" s="1">
        <v>6.383874146</v>
      </c>
      <c r="L154" s="1">
        <v>2.616924066</v>
      </c>
      <c r="M154" s="1">
        <v>86.45469821</v>
      </c>
      <c r="N154" s="1">
        <v>10.27894825</v>
      </c>
      <c r="O154" s="1">
        <v>2.897503996</v>
      </c>
      <c r="P154" s="1">
        <v>0.3688495446</v>
      </c>
      <c r="Q154" s="2">
        <f t="shared" si="1"/>
        <v>19129955</v>
      </c>
      <c r="R154" s="2">
        <f t="shared" si="2"/>
        <v>3333777</v>
      </c>
      <c r="S154" s="2">
        <f t="shared" si="3"/>
        <v>82.57299995</v>
      </c>
      <c r="T154" s="2">
        <f t="shared" si="4"/>
        <v>20</v>
      </c>
      <c r="U154" s="2">
        <f t="shared" si="9"/>
        <v>70.04773</v>
      </c>
      <c r="V154" s="2">
        <f t="shared" si="6"/>
        <v>17</v>
      </c>
      <c r="W154" s="2">
        <f t="shared" si="7"/>
        <v>83</v>
      </c>
      <c r="X154" s="2">
        <f t="shared" si="8"/>
        <v>1</v>
      </c>
    </row>
    <row r="155">
      <c r="A155" s="1" t="s">
        <v>192</v>
      </c>
      <c r="B155" s="1" t="s">
        <v>34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1">
        <v>100.0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  <c r="Q155" s="2">
        <f t="shared" si="1"/>
        <v>19237682</v>
      </c>
      <c r="R155" s="2">
        <f t="shared" si="2"/>
        <v>10425669</v>
      </c>
      <c r="S155" s="2">
        <f t="shared" si="3"/>
        <v>45.80599976</v>
      </c>
      <c r="T155" s="2">
        <f t="shared" si="4"/>
        <v>20</v>
      </c>
      <c r="U155" s="2">
        <f t="shared" si="9"/>
        <v>100</v>
      </c>
      <c r="V155" s="2">
        <f t="shared" si="6"/>
        <v>54</v>
      </c>
      <c r="W155" s="2">
        <f t="shared" si="7"/>
        <v>46</v>
      </c>
      <c r="X155" s="2">
        <f t="shared" si="8"/>
        <v>4</v>
      </c>
    </row>
    <row r="156">
      <c r="A156" s="1" t="s">
        <v>213</v>
      </c>
      <c r="B156" s="1" t="s">
        <v>59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1">
        <v>72.08089521</v>
      </c>
      <c r="J156" s="1">
        <v>3.78241223</v>
      </c>
      <c r="K156" s="1">
        <v>21.72810084</v>
      </c>
      <c r="L156" s="1">
        <v>2.408591717</v>
      </c>
      <c r="M156" s="1">
        <v>95.91745475</v>
      </c>
      <c r="N156" s="1">
        <v>3.947121723</v>
      </c>
      <c r="O156" s="1">
        <v>0.1354235314</v>
      </c>
      <c r="P156" s="1">
        <v>0.0</v>
      </c>
      <c r="Q156" s="2">
        <f t="shared" si="1"/>
        <v>20250834</v>
      </c>
      <c r="R156" s="2">
        <f t="shared" si="2"/>
        <v>8891940</v>
      </c>
      <c r="S156" s="2">
        <f t="shared" si="3"/>
        <v>56.09099579</v>
      </c>
      <c r="T156" s="2">
        <f t="shared" si="4"/>
        <v>21</v>
      </c>
      <c r="U156" s="2">
        <f t="shared" si="9"/>
        <v>82.54729</v>
      </c>
      <c r="V156" s="2">
        <f t="shared" si="6"/>
        <v>44</v>
      </c>
      <c r="W156" s="2">
        <f t="shared" si="7"/>
        <v>56</v>
      </c>
      <c r="X156" s="2">
        <f t="shared" si="8"/>
        <v>1</v>
      </c>
    </row>
    <row r="157">
      <c r="A157" s="1" t="s">
        <v>233</v>
      </c>
      <c r="B157" s="1" t="s">
        <v>59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1">
        <v>32.7182589</v>
      </c>
      <c r="J157" s="1">
        <v>38.62690254</v>
      </c>
      <c r="K157" s="1">
        <v>28.3404457</v>
      </c>
      <c r="L157" s="1">
        <v>0.3143928626</v>
      </c>
      <c r="M157" s="1">
        <v>80.08191854</v>
      </c>
      <c r="N157" s="1">
        <v>14.60004919</v>
      </c>
      <c r="O157" s="1">
        <v>4.875836487</v>
      </c>
      <c r="P157" s="1">
        <v>0.4421957805</v>
      </c>
      <c r="Q157" s="2">
        <f t="shared" si="1"/>
        <v>20903277</v>
      </c>
      <c r="R157" s="2">
        <f t="shared" si="2"/>
        <v>6397866</v>
      </c>
      <c r="S157" s="2">
        <f t="shared" si="3"/>
        <v>69.39299965</v>
      </c>
      <c r="T157" s="2">
        <f t="shared" si="4"/>
        <v>21</v>
      </c>
      <c r="U157" s="2">
        <f t="shared" si="9"/>
        <v>47.21485</v>
      </c>
      <c r="V157" s="2">
        <f t="shared" si="6"/>
        <v>31</v>
      </c>
      <c r="W157" s="2">
        <f t="shared" si="7"/>
        <v>69</v>
      </c>
      <c r="X157" s="2">
        <f t="shared" si="8"/>
        <v>1</v>
      </c>
    </row>
    <row r="158">
      <c r="A158" s="1" t="s">
        <v>245</v>
      </c>
      <c r="B158" s="1" t="s">
        <v>60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1">
        <v>90.5374357</v>
      </c>
      <c r="J158" s="1">
        <v>0.7032099038</v>
      </c>
      <c r="K158" s="1">
        <v>6.510488612</v>
      </c>
      <c r="L158" s="1">
        <v>2.248865782</v>
      </c>
      <c r="M158" s="1">
        <v>99.56938019</v>
      </c>
      <c r="N158" s="1">
        <v>0.1273977901</v>
      </c>
      <c r="O158" s="1">
        <v>0.3032220202</v>
      </c>
      <c r="P158" s="1">
        <v>0.0</v>
      </c>
      <c r="Q158" s="2">
        <f t="shared" si="1"/>
        <v>21413250</v>
      </c>
      <c r="R158" s="2">
        <f t="shared" si="2"/>
        <v>4007061</v>
      </c>
      <c r="S158" s="2">
        <f t="shared" si="3"/>
        <v>81.28700066</v>
      </c>
      <c r="T158" s="2">
        <f t="shared" si="4"/>
        <v>22</v>
      </c>
      <c r="U158" s="2">
        <f t="shared" si="9"/>
        <v>92.22758</v>
      </c>
      <c r="V158" s="2">
        <f t="shared" si="6"/>
        <v>19</v>
      </c>
      <c r="W158" s="2">
        <f t="shared" si="7"/>
        <v>81</v>
      </c>
      <c r="X158" s="2">
        <f t="shared" si="8"/>
        <v>2</v>
      </c>
    </row>
    <row r="159">
      <c r="A159" s="1" t="s">
        <v>247</v>
      </c>
      <c r="B159" s="1" t="s">
        <v>59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1">
        <v>39.15415932</v>
      </c>
      <c r="J159" s="1">
        <v>23.98774039</v>
      </c>
      <c r="K159" s="1">
        <v>31.99150648</v>
      </c>
      <c r="L159" s="1">
        <v>4.866593813</v>
      </c>
      <c r="M159" s="1">
        <v>85.81383976</v>
      </c>
      <c r="N159" s="1">
        <v>9.950440829</v>
      </c>
      <c r="O159" s="1">
        <v>2.13468778</v>
      </c>
      <c r="P159" s="1">
        <v>2.101031634</v>
      </c>
      <c r="Q159" s="2">
        <f t="shared" si="1"/>
        <v>24206637</v>
      </c>
      <c r="R159" s="2">
        <f t="shared" si="2"/>
        <v>4024595</v>
      </c>
      <c r="S159" s="2">
        <f t="shared" si="3"/>
        <v>83.37400055</v>
      </c>
      <c r="T159" s="2">
        <f t="shared" si="4"/>
        <v>25</v>
      </c>
      <c r="U159" s="2">
        <f t="shared" si="9"/>
        <v>46.9118</v>
      </c>
      <c r="V159" s="2">
        <f t="shared" si="6"/>
        <v>17</v>
      </c>
      <c r="W159" s="2">
        <f t="shared" si="7"/>
        <v>83</v>
      </c>
      <c r="X159" s="2">
        <f t="shared" si="8"/>
        <v>1</v>
      </c>
    </row>
    <row r="160">
      <c r="A160" s="1" t="s">
        <v>108</v>
      </c>
      <c r="B160" s="1" t="s">
        <v>34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99.965</v>
      </c>
      <c r="N160" s="1">
        <v>0.0</v>
      </c>
      <c r="O160" s="1">
        <v>0.035</v>
      </c>
      <c r="P160" s="1">
        <v>0.0</v>
      </c>
      <c r="Q160" s="2">
        <f t="shared" si="1"/>
        <v>25499881</v>
      </c>
      <c r="R160" s="2">
        <f t="shared" si="2"/>
        <v>21991352</v>
      </c>
      <c r="S160" s="2">
        <f t="shared" si="3"/>
        <v>13.75900269</v>
      </c>
      <c r="T160" s="2">
        <f t="shared" si="4"/>
        <v>26</v>
      </c>
      <c r="U160" s="2">
        <f t="shared" si="9"/>
        <v>99.96981</v>
      </c>
      <c r="V160" s="2">
        <f t="shared" si="6"/>
        <v>86</v>
      </c>
      <c r="W160" s="2">
        <f t="shared" si="7"/>
        <v>14</v>
      </c>
      <c r="X160" s="2">
        <f t="shared" si="8"/>
        <v>4</v>
      </c>
    </row>
    <row r="161">
      <c r="A161" s="1" t="s">
        <v>171</v>
      </c>
      <c r="B161" s="1" t="s">
        <v>59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1">
        <v>88.75362488</v>
      </c>
      <c r="J161" s="1">
        <v>0.3564402606</v>
      </c>
      <c r="K161" s="1">
        <v>10.18993486</v>
      </c>
      <c r="L161" s="1">
        <v>0.7</v>
      </c>
      <c r="M161" s="1">
        <v>96.91351044</v>
      </c>
      <c r="N161" s="1">
        <v>0.8801428799</v>
      </c>
      <c r="O161" s="1">
        <v>2.206346677</v>
      </c>
      <c r="P161" s="1">
        <v>0.0</v>
      </c>
      <c r="Q161" s="2">
        <f t="shared" si="1"/>
        <v>25778814</v>
      </c>
      <c r="R161" s="2">
        <f t="shared" si="2"/>
        <v>16081082</v>
      </c>
      <c r="S161" s="2">
        <f t="shared" si="3"/>
        <v>37.61899948</v>
      </c>
      <c r="T161" s="2">
        <f t="shared" si="4"/>
        <v>26</v>
      </c>
      <c r="U161" s="2">
        <f t="shared" si="9"/>
        <v>93.84384</v>
      </c>
      <c r="V161" s="2">
        <f t="shared" si="6"/>
        <v>62</v>
      </c>
      <c r="W161" s="2">
        <f t="shared" si="7"/>
        <v>38</v>
      </c>
      <c r="X161" s="2">
        <f t="shared" si="8"/>
        <v>1</v>
      </c>
    </row>
    <row r="162">
      <c r="A162" s="1" t="s">
        <v>197</v>
      </c>
      <c r="B162" s="1" t="s">
        <v>60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1">
        <v>55.72244686</v>
      </c>
      <c r="J162" s="1">
        <v>13.34316829</v>
      </c>
      <c r="K162" s="1">
        <v>23.17527956</v>
      </c>
      <c r="L162" s="1">
        <v>7.759105289</v>
      </c>
      <c r="M162" s="1">
        <v>85.09355329</v>
      </c>
      <c r="N162" s="1">
        <v>4.818535156</v>
      </c>
      <c r="O162" s="1">
        <v>5.80236656</v>
      </c>
      <c r="P162" s="1">
        <v>4.285544994</v>
      </c>
      <c r="Q162" s="2">
        <f t="shared" si="1"/>
        <v>26378275</v>
      </c>
      <c r="R162" s="2">
        <f t="shared" si="2"/>
        <v>13639150</v>
      </c>
      <c r="S162" s="2">
        <f t="shared" si="3"/>
        <v>48.29400253</v>
      </c>
      <c r="T162" s="2">
        <f t="shared" si="4"/>
        <v>27</v>
      </c>
      <c r="U162" s="2">
        <f t="shared" si="9"/>
        <v>70.90907</v>
      </c>
      <c r="V162" s="2">
        <f t="shared" si="6"/>
        <v>52</v>
      </c>
      <c r="W162" s="2">
        <f t="shared" si="7"/>
        <v>48</v>
      </c>
      <c r="X162" s="2">
        <f t="shared" si="8"/>
        <v>2</v>
      </c>
    </row>
    <row r="163">
      <c r="A163" s="1" t="s">
        <v>177</v>
      </c>
      <c r="B163" s="1" t="s">
        <v>60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1">
        <v>43.52758112</v>
      </c>
      <c r="J163" s="1">
        <v>12.67259943</v>
      </c>
      <c r="K163" s="1">
        <v>30.12380645</v>
      </c>
      <c r="L163" s="1">
        <v>13.676013</v>
      </c>
      <c r="M163" s="1">
        <v>82.08358486</v>
      </c>
      <c r="N163" s="1">
        <v>13.02379677</v>
      </c>
      <c r="O163" s="1">
        <v>3.850701351</v>
      </c>
      <c r="P163" s="1">
        <v>1.041917019</v>
      </c>
      <c r="Q163" s="2">
        <f t="shared" si="1"/>
        <v>26545863</v>
      </c>
      <c r="R163" s="2">
        <f t="shared" si="2"/>
        <v>15279800</v>
      </c>
      <c r="S163" s="2">
        <f t="shared" si="3"/>
        <v>42.43999481</v>
      </c>
      <c r="T163" s="2">
        <f t="shared" si="4"/>
        <v>27</v>
      </c>
      <c r="U163" s="2">
        <f t="shared" si="9"/>
        <v>65.72042</v>
      </c>
      <c r="V163" s="2">
        <f t="shared" si="6"/>
        <v>58</v>
      </c>
      <c r="W163" s="2">
        <f t="shared" si="7"/>
        <v>42</v>
      </c>
      <c r="X163" s="2">
        <f t="shared" si="8"/>
        <v>2</v>
      </c>
    </row>
    <row r="164">
      <c r="A164" s="1" t="s">
        <v>220</v>
      </c>
      <c r="B164" s="1" t="s">
        <v>59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1">
        <v>36.40642028</v>
      </c>
      <c r="J164" s="1">
        <v>1.601776163</v>
      </c>
      <c r="K164" s="1">
        <v>43.95389345</v>
      </c>
      <c r="L164" s="1">
        <v>18.03791011</v>
      </c>
      <c r="M164" s="1">
        <v>80.47000694</v>
      </c>
      <c r="N164" s="1">
        <v>4.498430298</v>
      </c>
      <c r="O164" s="1">
        <v>13.74049434</v>
      </c>
      <c r="P164" s="1">
        <v>1.291068417</v>
      </c>
      <c r="Q164" s="2">
        <f t="shared" si="1"/>
        <v>27691020</v>
      </c>
      <c r="R164" s="2">
        <f t="shared" si="2"/>
        <v>10670458</v>
      </c>
      <c r="S164" s="2">
        <f t="shared" si="3"/>
        <v>61.4659996</v>
      </c>
      <c r="T164" s="2">
        <f t="shared" si="4"/>
        <v>28</v>
      </c>
      <c r="U164" s="2">
        <f t="shared" si="9"/>
        <v>53.38588</v>
      </c>
      <c r="V164" s="2">
        <f t="shared" si="6"/>
        <v>39</v>
      </c>
      <c r="W164" s="2">
        <f t="shared" si="7"/>
        <v>61</v>
      </c>
      <c r="X164" s="2">
        <f t="shared" si="8"/>
        <v>1</v>
      </c>
    </row>
    <row r="165">
      <c r="A165" s="1" t="s">
        <v>104</v>
      </c>
      <c r="B165" s="1" t="s">
        <v>26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26</v>
      </c>
      <c r="I165" s="1" t="s">
        <v>26</v>
      </c>
      <c r="J165" s="1" t="s">
        <v>26</v>
      </c>
      <c r="K165" s="1" t="s">
        <v>26</v>
      </c>
      <c r="L165" s="1" t="s">
        <v>26</v>
      </c>
      <c r="M165" s="1" t="s">
        <v>26</v>
      </c>
      <c r="N165" s="1" t="s">
        <v>26</v>
      </c>
      <c r="O165" s="1" t="s">
        <v>26</v>
      </c>
      <c r="P165" s="1" t="s">
        <v>26</v>
      </c>
      <c r="Q165" s="2">
        <f t="shared" si="1"/>
        <v>28435943</v>
      </c>
      <c r="R165" s="2">
        <f t="shared" si="2"/>
        <v>25102966</v>
      </c>
      <c r="S165" s="2">
        <f t="shared" si="3"/>
        <v>11.72100067</v>
      </c>
      <c r="T165" s="2">
        <f t="shared" si="4"/>
        <v>29</v>
      </c>
      <c r="U165" s="2">
        <f t="shared" si="9"/>
        <v>93.6858</v>
      </c>
      <c r="V165" s="2">
        <f t="shared" si="6"/>
        <v>88</v>
      </c>
      <c r="W165" s="2">
        <f t="shared" si="7"/>
        <v>12</v>
      </c>
      <c r="X165" s="2">
        <f t="shared" si="8"/>
        <v>0</v>
      </c>
    </row>
    <row r="166">
      <c r="A166" s="1" t="s">
        <v>243</v>
      </c>
      <c r="B166" s="1" t="s">
        <v>60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1">
        <v>90.20327165</v>
      </c>
      <c r="J166" s="1">
        <v>4.207348246</v>
      </c>
      <c r="K166" s="1">
        <v>4.269023951</v>
      </c>
      <c r="L166" s="1">
        <v>1.320356149</v>
      </c>
      <c r="M166" s="1">
        <v>89.57763316</v>
      </c>
      <c r="N166" s="1">
        <v>3.101581411</v>
      </c>
      <c r="O166" s="1">
        <v>6.359123168</v>
      </c>
      <c r="P166" s="1">
        <v>0.9616622585</v>
      </c>
      <c r="Q166" s="2">
        <f t="shared" si="1"/>
        <v>29136809</v>
      </c>
      <c r="R166" s="2">
        <f t="shared" si="2"/>
        <v>5995190</v>
      </c>
      <c r="S166" s="2">
        <f t="shared" si="3"/>
        <v>79.42399979</v>
      </c>
      <c r="T166" s="2">
        <f t="shared" si="4"/>
        <v>30</v>
      </c>
      <c r="U166" s="2">
        <f t="shared" si="9"/>
        <v>90.07454</v>
      </c>
      <c r="V166" s="2">
        <f t="shared" si="6"/>
        <v>21</v>
      </c>
      <c r="W166" s="2">
        <f t="shared" si="7"/>
        <v>79</v>
      </c>
      <c r="X166" s="2">
        <f t="shared" si="8"/>
        <v>2</v>
      </c>
    </row>
    <row r="167">
      <c r="A167" s="1" t="s">
        <v>222</v>
      </c>
      <c r="B167" s="1" t="s">
        <v>59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1">
        <v>50.68133437</v>
      </c>
      <c r="J167" s="1">
        <v>33.53021373</v>
      </c>
      <c r="K167" s="1">
        <v>11.60782393</v>
      </c>
      <c r="L167" s="1">
        <v>4.180627978</v>
      </c>
      <c r="M167" s="1">
        <v>77.01412934</v>
      </c>
      <c r="N167" s="1">
        <v>21.48137937</v>
      </c>
      <c r="O167" s="1">
        <v>1.504491286</v>
      </c>
      <c r="P167" s="1">
        <v>0.0</v>
      </c>
      <c r="Q167" s="2">
        <f t="shared" si="1"/>
        <v>29825969</v>
      </c>
      <c r="R167" s="2">
        <f t="shared" si="2"/>
        <v>11306427</v>
      </c>
      <c r="S167" s="2">
        <f t="shared" si="3"/>
        <v>62.09200287</v>
      </c>
      <c r="T167" s="2">
        <f t="shared" si="4"/>
        <v>30</v>
      </c>
      <c r="U167" s="2">
        <f t="shared" si="9"/>
        <v>60.66357</v>
      </c>
      <c r="V167" s="2">
        <f t="shared" si="6"/>
        <v>38</v>
      </c>
      <c r="W167" s="2">
        <f t="shared" si="7"/>
        <v>62</v>
      </c>
      <c r="X167" s="2">
        <f t="shared" si="8"/>
        <v>1</v>
      </c>
    </row>
    <row r="168">
      <c r="A168" s="1" t="s">
        <v>183</v>
      </c>
      <c r="B168" s="1" t="s">
        <v>60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1">
        <v>71.89275005</v>
      </c>
      <c r="J168" s="1">
        <v>11.93454827</v>
      </c>
      <c r="K168" s="1">
        <v>4.999356483</v>
      </c>
      <c r="L168" s="1">
        <v>11.17334519</v>
      </c>
      <c r="M168" s="1">
        <v>96.12725952</v>
      </c>
      <c r="N168" s="1">
        <v>2.608342455</v>
      </c>
      <c r="O168" s="1">
        <v>1.185613803</v>
      </c>
      <c r="P168" s="1">
        <v>0.07878421819</v>
      </c>
      <c r="Q168" s="2">
        <f t="shared" si="1"/>
        <v>31072945</v>
      </c>
      <c r="R168" s="2">
        <f t="shared" si="2"/>
        <v>17820023</v>
      </c>
      <c r="S168" s="2">
        <f t="shared" si="3"/>
        <v>42.65100098</v>
      </c>
      <c r="T168" s="2">
        <f t="shared" si="4"/>
        <v>32</v>
      </c>
      <c r="U168" s="2">
        <f t="shared" si="9"/>
        <v>85.791</v>
      </c>
      <c r="V168" s="2">
        <f t="shared" si="6"/>
        <v>57</v>
      </c>
      <c r="W168" s="2">
        <f t="shared" si="7"/>
        <v>43</v>
      </c>
      <c r="X168" s="2">
        <f t="shared" si="8"/>
        <v>2</v>
      </c>
    </row>
    <row r="169">
      <c r="A169" s="1" t="s">
        <v>225</v>
      </c>
      <c r="B169" s="1" t="s">
        <v>59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1">
        <v>48.8666865</v>
      </c>
      <c r="J169" s="1">
        <v>12.64088359</v>
      </c>
      <c r="K169" s="1">
        <v>23.6862564</v>
      </c>
      <c r="L169" s="1">
        <v>14.80617352</v>
      </c>
      <c r="M169" s="1">
        <v>87.98504792</v>
      </c>
      <c r="N169" s="1">
        <v>5.452291027</v>
      </c>
      <c r="O169" s="1">
        <v>4.912684644</v>
      </c>
      <c r="P169" s="1">
        <v>1.649976404</v>
      </c>
      <c r="Q169" s="2">
        <f t="shared" si="1"/>
        <v>31255436</v>
      </c>
      <c r="R169" s="2">
        <f t="shared" si="2"/>
        <v>11587640</v>
      </c>
      <c r="S169" s="2">
        <f t="shared" si="3"/>
        <v>62.9260025</v>
      </c>
      <c r="T169" s="2">
        <f t="shared" si="4"/>
        <v>32</v>
      </c>
      <c r="U169" s="2">
        <f t="shared" si="9"/>
        <v>63.36943</v>
      </c>
      <c r="V169" s="2">
        <f t="shared" si="6"/>
        <v>37</v>
      </c>
      <c r="W169" s="2">
        <f t="shared" si="7"/>
        <v>63</v>
      </c>
      <c r="X169" s="2">
        <f t="shared" si="8"/>
        <v>1</v>
      </c>
    </row>
    <row r="170">
      <c r="A170" s="1" t="s">
        <v>133</v>
      </c>
      <c r="B170" s="1" t="s">
        <v>37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26</v>
      </c>
      <c r="I170" s="1">
        <v>90.19744812</v>
      </c>
      <c r="J170" s="1">
        <v>0.5444513971</v>
      </c>
      <c r="K170" s="1">
        <v>9.258100478</v>
      </c>
      <c r="L170" s="1" t="s">
        <v>26</v>
      </c>
      <c r="M170" s="1">
        <v>99.14309591</v>
      </c>
      <c r="N170" s="1">
        <v>0.2983242605</v>
      </c>
      <c r="O170" s="1">
        <v>0.4685798319</v>
      </c>
      <c r="P170" s="1">
        <v>0.09</v>
      </c>
      <c r="Q170" s="2">
        <f t="shared" si="1"/>
        <v>32365998</v>
      </c>
      <c r="R170" s="2">
        <f t="shared" si="2"/>
        <v>24973603</v>
      </c>
      <c r="S170" s="2">
        <f t="shared" si="3"/>
        <v>22.84000397</v>
      </c>
      <c r="T170" s="2">
        <f t="shared" si="4"/>
        <v>33</v>
      </c>
      <c r="U170" s="2">
        <f t="shared" si="9"/>
        <v>97.09991</v>
      </c>
      <c r="V170" s="2">
        <f t="shared" si="6"/>
        <v>77</v>
      </c>
      <c r="W170" s="2">
        <f t="shared" si="7"/>
        <v>23</v>
      </c>
      <c r="X170" s="2">
        <f t="shared" si="8"/>
        <v>3</v>
      </c>
    </row>
    <row r="171">
      <c r="A171" s="1" t="s">
        <v>158</v>
      </c>
      <c r="B171" s="1" t="s">
        <v>60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1">
        <v>27.80822661</v>
      </c>
      <c r="J171" s="1">
        <v>8.740488389</v>
      </c>
      <c r="K171" s="1">
        <v>22.93315258</v>
      </c>
      <c r="L171" s="1">
        <v>40.51813242</v>
      </c>
      <c r="M171" s="1">
        <v>71.74314862</v>
      </c>
      <c r="N171" s="1">
        <v>9.558837489</v>
      </c>
      <c r="O171" s="1">
        <v>17.72203473</v>
      </c>
      <c r="P171" s="1">
        <v>0.9759791629</v>
      </c>
      <c r="Q171" s="2">
        <f t="shared" si="1"/>
        <v>32866270</v>
      </c>
      <c r="R171" s="2">
        <f t="shared" si="2"/>
        <v>21962884</v>
      </c>
      <c r="S171" s="2">
        <f t="shared" si="3"/>
        <v>33.17500305</v>
      </c>
      <c r="T171" s="2">
        <f t="shared" si="4"/>
        <v>33</v>
      </c>
      <c r="U171" s="2">
        <f t="shared" si="9"/>
        <v>57.16774</v>
      </c>
      <c r="V171" s="2">
        <f t="shared" si="6"/>
        <v>67</v>
      </c>
      <c r="W171" s="2">
        <f t="shared" si="7"/>
        <v>33</v>
      </c>
      <c r="X171" s="2">
        <f t="shared" si="8"/>
        <v>2</v>
      </c>
    </row>
    <row r="172">
      <c r="A172" s="1" t="s">
        <v>130</v>
      </c>
      <c r="B172" s="1" t="s">
        <v>37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1">
        <v>80.79943849</v>
      </c>
      <c r="J172" s="1">
        <v>1.596943771</v>
      </c>
      <c r="K172" s="1">
        <v>9.612691163</v>
      </c>
      <c r="L172" s="1">
        <v>7.990926578</v>
      </c>
      <c r="M172" s="1">
        <v>96.55984408</v>
      </c>
      <c r="N172" s="1">
        <v>0.6423932356</v>
      </c>
      <c r="O172" s="1">
        <v>2.636408693</v>
      </c>
      <c r="P172" s="1">
        <v>0.1613539953</v>
      </c>
      <c r="Q172" s="2">
        <f t="shared" si="1"/>
        <v>32971848</v>
      </c>
      <c r="R172" s="2">
        <f t="shared" si="2"/>
        <v>25815969</v>
      </c>
      <c r="S172" s="2">
        <f t="shared" si="3"/>
        <v>21.7029953</v>
      </c>
      <c r="T172" s="2">
        <f t="shared" si="4"/>
        <v>33</v>
      </c>
      <c r="U172" s="2">
        <f t="shared" si="9"/>
        <v>93.13937</v>
      </c>
      <c r="V172" s="2">
        <f t="shared" si="6"/>
        <v>78</v>
      </c>
      <c r="W172" s="2">
        <f t="shared" si="7"/>
        <v>22</v>
      </c>
      <c r="X172" s="2">
        <f t="shared" si="8"/>
        <v>3</v>
      </c>
    </row>
    <row r="173">
      <c r="A173" s="1" t="s">
        <v>203</v>
      </c>
      <c r="B173" s="1" t="s">
        <v>60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1">
        <v>96.07258236</v>
      </c>
      <c r="J173" s="1">
        <v>0.0</v>
      </c>
      <c r="K173" s="1">
        <v>0.0</v>
      </c>
      <c r="L173" s="1">
        <v>3.927417637</v>
      </c>
      <c r="M173" s="1">
        <v>99.55600556</v>
      </c>
      <c r="N173" s="1">
        <v>0.0</v>
      </c>
      <c r="O173" s="1">
        <v>0.4439944434</v>
      </c>
      <c r="P173" s="1">
        <v>0.0</v>
      </c>
      <c r="Q173" s="2">
        <f t="shared" si="1"/>
        <v>33469199</v>
      </c>
      <c r="R173" s="2">
        <f t="shared" si="2"/>
        <v>16873830</v>
      </c>
      <c r="S173" s="2">
        <f t="shared" si="3"/>
        <v>49.58400345</v>
      </c>
      <c r="T173" s="2">
        <f t="shared" si="4"/>
        <v>34</v>
      </c>
      <c r="U173" s="2">
        <f t="shared" si="9"/>
        <v>97.82878</v>
      </c>
      <c r="V173" s="2">
        <f t="shared" si="6"/>
        <v>50</v>
      </c>
      <c r="W173" s="2">
        <f t="shared" si="7"/>
        <v>50</v>
      </c>
      <c r="X173" s="2">
        <f t="shared" si="8"/>
        <v>2</v>
      </c>
    </row>
    <row r="174">
      <c r="A174" s="1" t="s">
        <v>111</v>
      </c>
      <c r="B174" s="1" t="s">
        <v>34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1" t="s">
        <v>26</v>
      </c>
      <c r="J174" s="1" t="s">
        <v>26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26</v>
      </c>
      <c r="Q174" s="2">
        <f t="shared" si="1"/>
        <v>34813867</v>
      </c>
      <c r="R174" s="2">
        <f t="shared" si="2"/>
        <v>29343565</v>
      </c>
      <c r="S174" s="2">
        <f t="shared" si="3"/>
        <v>15.71299744</v>
      </c>
      <c r="T174" s="2">
        <f t="shared" si="4"/>
        <v>35</v>
      </c>
      <c r="U174" s="2">
        <f t="shared" si="9"/>
        <v>100</v>
      </c>
      <c r="V174" s="2">
        <f t="shared" si="6"/>
        <v>84</v>
      </c>
      <c r="W174" s="2">
        <f t="shared" si="7"/>
        <v>16</v>
      </c>
      <c r="X174" s="2">
        <f t="shared" si="8"/>
        <v>4</v>
      </c>
    </row>
    <row r="175">
      <c r="A175" s="1" t="s">
        <v>165</v>
      </c>
      <c r="B175" s="1" t="s">
        <v>60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1">
        <v>77.34612896</v>
      </c>
      <c r="J175" s="1">
        <v>12.03707816</v>
      </c>
      <c r="K175" s="1">
        <v>6.623063373</v>
      </c>
      <c r="L175" s="1">
        <v>3.993729502</v>
      </c>
      <c r="M175" s="1">
        <v>97.89674601</v>
      </c>
      <c r="N175" s="1">
        <v>1.375477117</v>
      </c>
      <c r="O175" s="1">
        <v>0.7277768759</v>
      </c>
      <c r="P175" s="1">
        <v>0.0</v>
      </c>
      <c r="Q175" s="2">
        <f t="shared" si="1"/>
        <v>36910559</v>
      </c>
      <c r="R175" s="2">
        <f t="shared" si="2"/>
        <v>23450015</v>
      </c>
      <c r="S175" s="2">
        <f t="shared" si="3"/>
        <v>36.46800232</v>
      </c>
      <c r="T175" s="2">
        <f t="shared" si="4"/>
        <v>37</v>
      </c>
      <c r="U175" s="2">
        <f t="shared" si="9"/>
        <v>90.40234</v>
      </c>
      <c r="V175" s="2">
        <f t="shared" si="6"/>
        <v>64</v>
      </c>
      <c r="W175" s="2">
        <f t="shared" si="7"/>
        <v>36</v>
      </c>
      <c r="X175" s="2">
        <f t="shared" si="8"/>
        <v>2</v>
      </c>
    </row>
    <row r="176">
      <c r="A176" s="1" t="s">
        <v>117</v>
      </c>
      <c r="B176" s="1" t="s">
        <v>34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1">
        <v>99.0604959</v>
      </c>
      <c r="J176" s="1">
        <v>0.0</v>
      </c>
      <c r="K176" s="1">
        <v>0.9395041006</v>
      </c>
      <c r="L176" s="1">
        <v>0.0</v>
      </c>
      <c r="M176" s="1">
        <v>99.25827766</v>
      </c>
      <c r="N176" s="1">
        <v>0.0</v>
      </c>
      <c r="O176" s="1">
        <v>0.7417223371</v>
      </c>
      <c r="P176" s="1">
        <v>0.0</v>
      </c>
      <c r="Q176" s="2">
        <f t="shared" si="1"/>
        <v>37742156</v>
      </c>
      <c r="R176" s="2">
        <f t="shared" si="2"/>
        <v>30783259</v>
      </c>
      <c r="S176" s="2">
        <f t="shared" si="3"/>
        <v>18.43799591</v>
      </c>
      <c r="T176" s="2">
        <f t="shared" si="4"/>
        <v>38</v>
      </c>
      <c r="U176" s="2">
        <f t="shared" si="9"/>
        <v>99.22181</v>
      </c>
      <c r="V176" s="2">
        <f t="shared" si="6"/>
        <v>82</v>
      </c>
      <c r="W176" s="2">
        <f t="shared" si="7"/>
        <v>18</v>
      </c>
      <c r="X176" s="2">
        <f t="shared" si="8"/>
        <v>4</v>
      </c>
    </row>
    <row r="177">
      <c r="A177" s="1" t="s">
        <v>173</v>
      </c>
      <c r="B177" s="1" t="s">
        <v>34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99.94435484</v>
      </c>
      <c r="N177" s="1">
        <v>0.0</v>
      </c>
      <c r="O177" s="1">
        <v>0.05564516129</v>
      </c>
      <c r="P177" s="1">
        <v>0.0</v>
      </c>
      <c r="Q177" s="2">
        <f t="shared" si="1"/>
        <v>37846605</v>
      </c>
      <c r="R177" s="2">
        <f t="shared" si="2"/>
        <v>22724238</v>
      </c>
      <c r="S177" s="2">
        <f t="shared" si="3"/>
        <v>39.95699692</v>
      </c>
      <c r="T177" s="2">
        <f t="shared" si="4"/>
        <v>38</v>
      </c>
      <c r="U177" s="2">
        <f t="shared" si="9"/>
        <v>99.96659</v>
      </c>
      <c r="V177" s="2">
        <f t="shared" si="6"/>
        <v>60</v>
      </c>
      <c r="W177" s="2">
        <f t="shared" si="7"/>
        <v>40</v>
      </c>
      <c r="X177" s="2">
        <f t="shared" si="8"/>
        <v>4</v>
      </c>
    </row>
    <row r="178">
      <c r="A178" s="1" t="s">
        <v>238</v>
      </c>
      <c r="B178" s="1" t="s">
        <v>59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1">
        <v>66.32791521</v>
      </c>
      <c r="J178" s="1">
        <v>1.956824851</v>
      </c>
      <c r="K178" s="1">
        <v>19.68294895</v>
      </c>
      <c r="L178" s="1">
        <v>12.03231098</v>
      </c>
      <c r="M178" s="1">
        <v>100.0</v>
      </c>
      <c r="N178" s="1">
        <v>0.0</v>
      </c>
      <c r="O178" s="1">
        <v>0.0</v>
      </c>
      <c r="P178" s="1">
        <v>0.0</v>
      </c>
      <c r="Q178" s="2">
        <f t="shared" si="1"/>
        <v>38928340</v>
      </c>
      <c r="R178" s="2">
        <f t="shared" si="2"/>
        <v>10131489</v>
      </c>
      <c r="S178" s="2">
        <f t="shared" si="3"/>
        <v>73.97400093</v>
      </c>
      <c r="T178" s="2">
        <f t="shared" si="4"/>
        <v>39</v>
      </c>
      <c r="U178" s="2">
        <f t="shared" si="9"/>
        <v>75.09141</v>
      </c>
      <c r="V178" s="2">
        <f t="shared" si="6"/>
        <v>26</v>
      </c>
      <c r="W178" s="2">
        <f t="shared" si="7"/>
        <v>74</v>
      </c>
      <c r="X178" s="2">
        <f t="shared" si="8"/>
        <v>1</v>
      </c>
    </row>
    <row r="179">
      <c r="A179" s="1" t="s">
        <v>146</v>
      </c>
      <c r="B179" s="1" t="s">
        <v>37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1">
        <v>94.83114678</v>
      </c>
      <c r="J179" s="1">
        <v>2.599251339</v>
      </c>
      <c r="K179" s="1">
        <v>0.0</v>
      </c>
      <c r="L179" s="1">
        <v>2.569601877</v>
      </c>
      <c r="M179" s="1">
        <v>99.80873103</v>
      </c>
      <c r="N179" s="1">
        <v>0.19126897</v>
      </c>
      <c r="O179" s="1">
        <v>0.0</v>
      </c>
      <c r="P179" s="1">
        <v>0.0</v>
      </c>
      <c r="Q179" s="2">
        <f t="shared" si="1"/>
        <v>40222504</v>
      </c>
      <c r="R179" s="2">
        <f t="shared" si="2"/>
        <v>28514939</v>
      </c>
      <c r="S179" s="2">
        <f t="shared" si="3"/>
        <v>29.10700226</v>
      </c>
      <c r="T179" s="2">
        <f t="shared" si="4"/>
        <v>41</v>
      </c>
      <c r="U179" s="2">
        <f t="shared" si="9"/>
        <v>98.3599</v>
      </c>
      <c r="V179" s="2">
        <f t="shared" si="6"/>
        <v>71</v>
      </c>
      <c r="W179" s="2">
        <f t="shared" si="7"/>
        <v>29</v>
      </c>
      <c r="X179" s="2">
        <f t="shared" si="8"/>
        <v>3</v>
      </c>
    </row>
    <row r="180">
      <c r="A180" s="1" t="s">
        <v>150</v>
      </c>
      <c r="B180" s="1" t="s">
        <v>60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1">
        <v>100.0</v>
      </c>
      <c r="J180" s="1">
        <v>0.0</v>
      </c>
      <c r="K180" s="1">
        <v>0.0</v>
      </c>
      <c r="L180" s="1">
        <v>0.0</v>
      </c>
      <c r="M180" s="1">
        <v>91.27727011</v>
      </c>
      <c r="N180" s="1">
        <v>8.14845779</v>
      </c>
      <c r="O180" s="1">
        <v>0.1090456533</v>
      </c>
      <c r="P180" s="1">
        <v>0.4652264446</v>
      </c>
      <c r="Q180" s="2">
        <f t="shared" si="1"/>
        <v>43733758</v>
      </c>
      <c r="R180" s="2">
        <f t="shared" si="2"/>
        <v>30442195</v>
      </c>
      <c r="S180" s="2">
        <f t="shared" si="3"/>
        <v>30.39199829</v>
      </c>
      <c r="T180" s="2">
        <f t="shared" si="4"/>
        <v>44</v>
      </c>
      <c r="U180" s="2">
        <f t="shared" si="9"/>
        <v>93.92828</v>
      </c>
      <c r="V180" s="2">
        <f t="shared" si="6"/>
        <v>70</v>
      </c>
      <c r="W180" s="2">
        <f t="shared" si="7"/>
        <v>30</v>
      </c>
      <c r="X180" s="2">
        <f t="shared" si="8"/>
        <v>2</v>
      </c>
    </row>
    <row r="181">
      <c r="A181" s="1" t="s">
        <v>230</v>
      </c>
      <c r="B181" s="1" t="s">
        <v>59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1">
        <v>53.19902707</v>
      </c>
      <c r="J181" s="1">
        <v>27.45764451</v>
      </c>
      <c r="K181" s="1">
        <v>5.637660008</v>
      </c>
      <c r="L181" s="1">
        <v>13.70566842</v>
      </c>
      <c r="M181" s="1">
        <v>73.76365956</v>
      </c>
      <c r="N181" s="1">
        <v>25.22343986</v>
      </c>
      <c r="O181" s="1">
        <v>0.0</v>
      </c>
      <c r="P181" s="1">
        <v>1.012900581</v>
      </c>
      <c r="Q181" s="2">
        <f t="shared" si="1"/>
        <v>43849270</v>
      </c>
      <c r="R181" s="2">
        <f t="shared" si="2"/>
        <v>15458182</v>
      </c>
      <c r="S181" s="2">
        <f t="shared" si="3"/>
        <v>64.74700165</v>
      </c>
      <c r="T181" s="2">
        <f t="shared" si="4"/>
        <v>44</v>
      </c>
      <c r="U181" s="2">
        <f t="shared" si="9"/>
        <v>60.44868</v>
      </c>
      <c r="V181" s="2">
        <f t="shared" si="6"/>
        <v>35</v>
      </c>
      <c r="W181" s="2">
        <f t="shared" si="7"/>
        <v>65</v>
      </c>
      <c r="X181" s="2">
        <f t="shared" si="8"/>
        <v>1</v>
      </c>
    </row>
    <row r="182">
      <c r="A182" s="1" t="s">
        <v>139</v>
      </c>
      <c r="B182" s="1" t="s">
        <v>60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1">
        <v>90.03753791</v>
      </c>
      <c r="J182" s="1">
        <v>8.79672214</v>
      </c>
      <c r="K182" s="1">
        <v>0.9946030281</v>
      </c>
      <c r="L182" s="1">
        <v>0.1711369258</v>
      </c>
      <c r="M182" s="1">
        <v>96.00473586</v>
      </c>
      <c r="N182" s="1">
        <v>3.628288591</v>
      </c>
      <c r="O182" s="1">
        <v>0.3669755478</v>
      </c>
      <c r="P182" s="1">
        <v>0.0</v>
      </c>
      <c r="Q182" s="2">
        <f t="shared" si="1"/>
        <v>43851043</v>
      </c>
      <c r="R182" s="2">
        <f t="shared" si="2"/>
        <v>32332690</v>
      </c>
      <c r="S182" s="2">
        <f t="shared" si="3"/>
        <v>26.26699829</v>
      </c>
      <c r="T182" s="2">
        <f t="shared" si="4"/>
        <v>44</v>
      </c>
      <c r="U182" s="2">
        <f t="shared" si="9"/>
        <v>94.43733</v>
      </c>
      <c r="V182" s="2">
        <f t="shared" si="6"/>
        <v>74</v>
      </c>
      <c r="W182" s="2">
        <f t="shared" si="7"/>
        <v>26</v>
      </c>
      <c r="X182" s="2">
        <f t="shared" si="8"/>
        <v>2</v>
      </c>
    </row>
    <row r="183">
      <c r="A183" s="1" t="s">
        <v>92</v>
      </c>
      <c r="B183" s="1" t="s">
        <v>37</v>
      </c>
      <c r="C183" s="1">
        <v>45195.77734</v>
      </c>
      <c r="D183" s="1">
        <v>92.11100006</v>
      </c>
      <c r="E183" s="1" t="s">
        <v>26</v>
      </c>
      <c r="F183" s="1" t="s">
        <v>26</v>
      </c>
      <c r="G183" s="1" t="s">
        <v>26</v>
      </c>
      <c r="H183" s="1" t="s">
        <v>26</v>
      </c>
      <c r="I183" s="1" t="s">
        <v>26</v>
      </c>
      <c r="J183" s="1" t="s">
        <v>26</v>
      </c>
      <c r="K183" s="1" t="s">
        <v>26</v>
      </c>
      <c r="L183" s="1" t="s">
        <v>26</v>
      </c>
      <c r="M183" s="1">
        <v>99.79042065</v>
      </c>
      <c r="N183" s="1">
        <v>0.0</v>
      </c>
      <c r="O183" s="1">
        <v>0.2095793501</v>
      </c>
      <c r="P183" s="1">
        <v>0.0</v>
      </c>
      <c r="Q183" s="2">
        <f t="shared" si="1"/>
        <v>45195777</v>
      </c>
      <c r="R183" s="2">
        <f t="shared" si="2"/>
        <v>41630282</v>
      </c>
      <c r="S183" s="2">
        <f t="shared" si="3"/>
        <v>7.88899994</v>
      </c>
      <c r="T183" s="2">
        <f t="shared" si="4"/>
        <v>46</v>
      </c>
      <c r="U183" s="1" t="s">
        <v>26</v>
      </c>
      <c r="V183" s="2">
        <f t="shared" si="6"/>
        <v>92</v>
      </c>
      <c r="W183" s="2">
        <f t="shared" si="7"/>
        <v>8</v>
      </c>
      <c r="X183" s="2">
        <f t="shared" si="8"/>
        <v>3</v>
      </c>
    </row>
    <row r="184">
      <c r="A184" s="1" t="s">
        <v>239</v>
      </c>
      <c r="B184" s="1" t="s">
        <v>59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1">
        <v>48.23118958</v>
      </c>
      <c r="J184" s="1">
        <v>31.78469426</v>
      </c>
      <c r="K184" s="1">
        <v>14.07616061</v>
      </c>
      <c r="L184" s="1">
        <v>5.907955546</v>
      </c>
      <c r="M184" s="1">
        <v>78.7828518</v>
      </c>
      <c r="N184" s="1">
        <v>13.74416783</v>
      </c>
      <c r="O184" s="1">
        <v>6.421044133</v>
      </c>
      <c r="P184" s="1">
        <v>1.051936238</v>
      </c>
      <c r="Q184" s="2">
        <f t="shared" si="1"/>
        <v>45741000</v>
      </c>
      <c r="R184" s="2">
        <f t="shared" si="2"/>
        <v>11414209</v>
      </c>
      <c r="S184" s="2">
        <f t="shared" si="3"/>
        <v>75.04599953</v>
      </c>
      <c r="T184" s="2">
        <f t="shared" si="4"/>
        <v>46</v>
      </c>
      <c r="U184" s="2">
        <f t="shared" ref="U184:U214" si="10">ROUND(E184,5)</f>
        <v>55.85505</v>
      </c>
      <c r="V184" s="2">
        <f t="shared" si="6"/>
        <v>25</v>
      </c>
      <c r="W184" s="2">
        <f t="shared" si="7"/>
        <v>75</v>
      </c>
      <c r="X184" s="2">
        <f t="shared" si="8"/>
        <v>1</v>
      </c>
    </row>
    <row r="185">
      <c r="A185" s="1" t="s">
        <v>125</v>
      </c>
      <c r="B185" s="1" t="s">
        <v>34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1">
        <v>100.0</v>
      </c>
      <c r="J185" s="1">
        <v>0.0</v>
      </c>
      <c r="K185" s="1">
        <v>0.0</v>
      </c>
      <c r="L185" s="1">
        <v>0.0</v>
      </c>
      <c r="M185" s="1">
        <v>99.90794521</v>
      </c>
      <c r="N185" s="1">
        <v>0.0</v>
      </c>
      <c r="O185" s="1">
        <v>0.09205479452</v>
      </c>
      <c r="P185" s="1">
        <v>0.0</v>
      </c>
      <c r="Q185" s="2">
        <f t="shared" si="1"/>
        <v>46754781</v>
      </c>
      <c r="R185" s="2">
        <f t="shared" si="2"/>
        <v>37782537</v>
      </c>
      <c r="S185" s="2">
        <f t="shared" si="3"/>
        <v>19.19000244</v>
      </c>
      <c r="T185" s="2">
        <f t="shared" si="4"/>
        <v>47</v>
      </c>
      <c r="U185" s="2">
        <f t="shared" si="10"/>
        <v>99.92561</v>
      </c>
      <c r="V185" s="2">
        <f t="shared" si="6"/>
        <v>81</v>
      </c>
      <c r="W185" s="2">
        <f t="shared" si="7"/>
        <v>19</v>
      </c>
      <c r="X185" s="2">
        <f t="shared" si="8"/>
        <v>4</v>
      </c>
    </row>
    <row r="186">
      <c r="A186" s="1" t="s">
        <v>118</v>
      </c>
      <c r="B186" s="1" t="s">
        <v>37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1">
        <v>86.76707282</v>
      </c>
      <c r="J186" s="1">
        <v>0.7312282016</v>
      </c>
      <c r="K186" s="1">
        <v>5.13386897</v>
      </c>
      <c r="L186" s="1">
        <v>7.367830005</v>
      </c>
      <c r="M186" s="1">
        <v>99.9381928</v>
      </c>
      <c r="N186" s="1">
        <v>0.0618072</v>
      </c>
      <c r="O186" s="1">
        <v>0.0</v>
      </c>
      <c r="P186" s="1">
        <v>0.0</v>
      </c>
      <c r="Q186" s="2">
        <f t="shared" si="1"/>
        <v>50882883</v>
      </c>
      <c r="R186" s="2">
        <f t="shared" si="2"/>
        <v>41431385</v>
      </c>
      <c r="S186" s="2">
        <f t="shared" si="3"/>
        <v>18.57500458</v>
      </c>
      <c r="T186" s="2">
        <f t="shared" si="4"/>
        <v>51</v>
      </c>
      <c r="U186" s="2">
        <f t="shared" si="10"/>
        <v>97.49166</v>
      </c>
      <c r="V186" s="2">
        <f t="shared" si="6"/>
        <v>81</v>
      </c>
      <c r="W186" s="2">
        <f t="shared" si="7"/>
        <v>19</v>
      </c>
      <c r="X186" s="2">
        <f t="shared" si="8"/>
        <v>3</v>
      </c>
    </row>
    <row r="187">
      <c r="A187" s="1" t="s">
        <v>124</v>
      </c>
      <c r="B187" s="1" t="s">
        <v>34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1" t="s">
        <v>26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26</v>
      </c>
      <c r="Q187" s="2">
        <f t="shared" si="1"/>
        <v>51269184</v>
      </c>
      <c r="R187" s="2">
        <f t="shared" si="2"/>
        <v>41740294</v>
      </c>
      <c r="S187" s="2">
        <f t="shared" si="3"/>
        <v>18.58599854</v>
      </c>
      <c r="T187" s="2">
        <f t="shared" si="4"/>
        <v>52</v>
      </c>
      <c r="U187" s="2">
        <f t="shared" si="10"/>
        <v>99.9314</v>
      </c>
      <c r="V187" s="2">
        <f t="shared" si="6"/>
        <v>81</v>
      </c>
      <c r="W187" s="2">
        <f t="shared" si="7"/>
        <v>19</v>
      </c>
      <c r="X187" s="2">
        <f t="shared" si="8"/>
        <v>4</v>
      </c>
    </row>
    <row r="188">
      <c r="A188" s="1" t="s">
        <v>236</v>
      </c>
      <c r="B188" s="1" t="s">
        <v>60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1">
        <v>51.77997893</v>
      </c>
      <c r="J188" s="1">
        <v>11.56900419</v>
      </c>
      <c r="K188" s="1">
        <v>12.51911322</v>
      </c>
      <c r="L188" s="1">
        <v>24.13190366</v>
      </c>
      <c r="M188" s="1">
        <v>86.97523145</v>
      </c>
      <c r="N188" s="1">
        <v>4.327944725</v>
      </c>
      <c r="O188" s="1">
        <v>2.73514263</v>
      </c>
      <c r="P188" s="1">
        <v>5.961681193</v>
      </c>
      <c r="Q188" s="2">
        <f t="shared" si="1"/>
        <v>53771301</v>
      </c>
      <c r="R188" s="2">
        <f t="shared" si="2"/>
        <v>15053275</v>
      </c>
      <c r="S188" s="2">
        <f t="shared" si="3"/>
        <v>72.00500107</v>
      </c>
      <c r="T188" s="2">
        <f t="shared" si="4"/>
        <v>54</v>
      </c>
      <c r="U188" s="2">
        <f t="shared" si="10"/>
        <v>61.63289</v>
      </c>
      <c r="V188" s="2">
        <f t="shared" si="6"/>
        <v>28</v>
      </c>
      <c r="W188" s="2">
        <f t="shared" si="7"/>
        <v>72</v>
      </c>
      <c r="X188" s="2">
        <f t="shared" si="8"/>
        <v>2</v>
      </c>
    </row>
    <row r="189">
      <c r="A189" s="1" t="s">
        <v>234</v>
      </c>
      <c r="B189" s="1" t="s">
        <v>60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1">
        <v>78.42256469</v>
      </c>
      <c r="J189" s="1">
        <v>2.316962142</v>
      </c>
      <c r="K189" s="1">
        <v>6.592393694</v>
      </c>
      <c r="L189" s="1">
        <v>12.66807947</v>
      </c>
      <c r="M189" s="1">
        <v>95.42788606</v>
      </c>
      <c r="N189" s="1">
        <v>0.0</v>
      </c>
      <c r="O189" s="1">
        <v>1.830283006</v>
      </c>
      <c r="P189" s="1">
        <v>2.741830931</v>
      </c>
      <c r="Q189" s="2">
        <f t="shared" si="1"/>
        <v>54409793</v>
      </c>
      <c r="R189" s="2">
        <f t="shared" si="2"/>
        <v>16943754</v>
      </c>
      <c r="S189" s="2">
        <f t="shared" si="3"/>
        <v>68.85899925</v>
      </c>
      <c r="T189" s="2">
        <f t="shared" si="4"/>
        <v>55</v>
      </c>
      <c r="U189" s="2">
        <f t="shared" si="10"/>
        <v>83.71819</v>
      </c>
      <c r="V189" s="2">
        <f t="shared" si="6"/>
        <v>31</v>
      </c>
      <c r="W189" s="2">
        <f t="shared" si="7"/>
        <v>69</v>
      </c>
      <c r="X189" s="2">
        <f t="shared" si="8"/>
        <v>2</v>
      </c>
    </row>
    <row r="190">
      <c r="A190" s="1" t="s">
        <v>160</v>
      </c>
      <c r="B190" s="1" t="s">
        <v>37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1">
        <v>83.32948118</v>
      </c>
      <c r="J190" s="1">
        <v>6.977359359</v>
      </c>
      <c r="K190" s="1">
        <v>3.776999287</v>
      </c>
      <c r="L190" s="1">
        <v>5.916160173</v>
      </c>
      <c r="M190" s="1">
        <v>99.00126484</v>
      </c>
      <c r="N190" s="1">
        <v>0.734785403</v>
      </c>
      <c r="O190" s="1">
        <v>0.2639497547</v>
      </c>
      <c r="P190" s="1">
        <v>0.0</v>
      </c>
      <c r="Q190" s="2">
        <f t="shared" si="1"/>
        <v>59308691</v>
      </c>
      <c r="R190" s="2">
        <f t="shared" si="2"/>
        <v>39946778</v>
      </c>
      <c r="S190" s="2">
        <f t="shared" si="3"/>
        <v>32.64599609</v>
      </c>
      <c r="T190" s="2">
        <f t="shared" si="4"/>
        <v>60</v>
      </c>
      <c r="U190" s="2">
        <f t="shared" si="10"/>
        <v>93.88506</v>
      </c>
      <c r="V190" s="2">
        <f t="shared" si="6"/>
        <v>67</v>
      </c>
      <c r="W190" s="2">
        <f t="shared" si="7"/>
        <v>33</v>
      </c>
      <c r="X190" s="2">
        <f t="shared" si="8"/>
        <v>3</v>
      </c>
    </row>
    <row r="191">
      <c r="A191" s="1" t="s">
        <v>231</v>
      </c>
      <c r="B191" s="1" t="s">
        <v>60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1">
        <v>45.44696534</v>
      </c>
      <c r="J191" s="1">
        <v>13.98368881</v>
      </c>
      <c r="K191" s="1">
        <v>21.21996133</v>
      </c>
      <c r="L191" s="1">
        <v>19.34938452</v>
      </c>
      <c r="M191" s="1">
        <v>88.7939249</v>
      </c>
      <c r="N191" s="1">
        <v>6.337231166</v>
      </c>
      <c r="O191" s="1">
        <v>2.194178786</v>
      </c>
      <c r="P191" s="1">
        <v>2.674665152</v>
      </c>
      <c r="Q191" s="2">
        <f t="shared" si="1"/>
        <v>59734215</v>
      </c>
      <c r="R191" s="2">
        <f t="shared" si="2"/>
        <v>21042573</v>
      </c>
      <c r="S191" s="2">
        <f t="shared" si="3"/>
        <v>64.77299881</v>
      </c>
      <c r="T191" s="2">
        <f t="shared" si="4"/>
        <v>60</v>
      </c>
      <c r="U191" s="2">
        <f t="shared" si="10"/>
        <v>60.7168</v>
      </c>
      <c r="V191" s="2">
        <f t="shared" si="6"/>
        <v>35</v>
      </c>
      <c r="W191" s="2">
        <f t="shared" si="7"/>
        <v>65</v>
      </c>
      <c r="X191" s="2">
        <f t="shared" si="8"/>
        <v>2</v>
      </c>
    </row>
    <row r="192">
      <c r="A192" s="1" t="s">
        <v>147</v>
      </c>
      <c r="B192" s="1" t="s">
        <v>34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1" t="s">
        <v>26</v>
      </c>
      <c r="J192" s="1" t="s">
        <v>26</v>
      </c>
      <c r="K192" s="1" t="s">
        <v>26</v>
      </c>
      <c r="L192" s="1" t="s">
        <v>26</v>
      </c>
      <c r="M192" s="1" t="s">
        <v>26</v>
      </c>
      <c r="N192" s="1" t="s">
        <v>26</v>
      </c>
      <c r="O192" s="1" t="s">
        <v>26</v>
      </c>
      <c r="P192" s="1" t="s">
        <v>26</v>
      </c>
      <c r="Q192" s="2">
        <f t="shared" si="1"/>
        <v>60461828</v>
      </c>
      <c r="R192" s="2">
        <f t="shared" si="2"/>
        <v>42951474</v>
      </c>
      <c r="S192" s="2">
        <f t="shared" si="3"/>
        <v>28.96100616</v>
      </c>
      <c r="T192" s="2">
        <f t="shared" si="4"/>
        <v>61</v>
      </c>
      <c r="U192" s="2">
        <f t="shared" si="10"/>
        <v>99.91703</v>
      </c>
      <c r="V192" s="2">
        <f t="shared" si="6"/>
        <v>71</v>
      </c>
      <c r="W192" s="2">
        <f t="shared" si="7"/>
        <v>29</v>
      </c>
      <c r="X192" s="2">
        <f t="shared" si="8"/>
        <v>4</v>
      </c>
    </row>
    <row r="193">
      <c r="A193" s="1" t="s">
        <v>120</v>
      </c>
      <c r="B193" s="1" t="s">
        <v>34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>
        <f t="shared" si="1"/>
        <v>65273512</v>
      </c>
      <c r="R193" s="2">
        <f t="shared" si="2"/>
        <v>52855225</v>
      </c>
      <c r="S193" s="2">
        <f t="shared" si="3"/>
        <v>19.02500153</v>
      </c>
      <c r="T193" s="2">
        <f t="shared" si="4"/>
        <v>66</v>
      </c>
      <c r="U193" s="2">
        <f t="shared" si="10"/>
        <v>100</v>
      </c>
      <c r="V193" s="2">
        <f t="shared" si="6"/>
        <v>81</v>
      </c>
      <c r="W193" s="2">
        <f t="shared" si="7"/>
        <v>19</v>
      </c>
      <c r="X193" s="2">
        <f t="shared" si="8"/>
        <v>4</v>
      </c>
    </row>
    <row r="194">
      <c r="A194" s="1" t="s">
        <v>112</v>
      </c>
      <c r="B194" s="1" t="s">
        <v>34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  <c r="Q194" s="2">
        <f t="shared" si="1"/>
        <v>67886008</v>
      </c>
      <c r="R194" s="2">
        <f t="shared" si="2"/>
        <v>56958397</v>
      </c>
      <c r="S194" s="2">
        <f t="shared" si="3"/>
        <v>16.09700012</v>
      </c>
      <c r="T194" s="2">
        <f t="shared" si="4"/>
        <v>68</v>
      </c>
      <c r="U194" s="2">
        <f t="shared" si="10"/>
        <v>100</v>
      </c>
      <c r="V194" s="2">
        <f t="shared" si="6"/>
        <v>84</v>
      </c>
      <c r="W194" s="2">
        <f t="shared" si="7"/>
        <v>16</v>
      </c>
      <c r="X194" s="2">
        <f t="shared" si="8"/>
        <v>4</v>
      </c>
    </row>
    <row r="195">
      <c r="A195" s="1" t="s">
        <v>202</v>
      </c>
      <c r="B195" s="1" t="s">
        <v>37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1">
        <v>100.0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  <c r="Q195" s="2">
        <f t="shared" si="1"/>
        <v>69799977</v>
      </c>
      <c r="R195" s="2">
        <f t="shared" si="2"/>
        <v>35898128</v>
      </c>
      <c r="S195" s="2">
        <f t="shared" si="3"/>
        <v>48.56999969</v>
      </c>
      <c r="T195" s="2">
        <f t="shared" si="4"/>
        <v>70</v>
      </c>
      <c r="U195" s="2">
        <f t="shared" si="10"/>
        <v>100</v>
      </c>
      <c r="V195" s="2">
        <f t="shared" si="6"/>
        <v>51</v>
      </c>
      <c r="W195" s="2">
        <f t="shared" si="7"/>
        <v>49</v>
      </c>
      <c r="X195" s="2">
        <f t="shared" si="8"/>
        <v>3</v>
      </c>
    </row>
    <row r="196">
      <c r="A196" s="1" t="s">
        <v>132</v>
      </c>
      <c r="B196" s="1" t="s">
        <v>34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1">
        <v>100.0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  <c r="Q196" s="2">
        <f t="shared" si="1"/>
        <v>83783945</v>
      </c>
      <c r="R196" s="2">
        <f t="shared" si="2"/>
        <v>64893181</v>
      </c>
      <c r="S196" s="2">
        <f t="shared" si="3"/>
        <v>22.54699707</v>
      </c>
      <c r="T196" s="2">
        <f t="shared" si="4"/>
        <v>84</v>
      </c>
      <c r="U196" s="2">
        <f t="shared" si="10"/>
        <v>100</v>
      </c>
      <c r="V196" s="2">
        <f t="shared" si="6"/>
        <v>77</v>
      </c>
      <c r="W196" s="2">
        <f t="shared" si="7"/>
        <v>23</v>
      </c>
      <c r="X196" s="2">
        <f t="shared" si="8"/>
        <v>4</v>
      </c>
    </row>
    <row r="197">
      <c r="A197" s="1" t="s">
        <v>136</v>
      </c>
      <c r="B197" s="1" t="s">
        <v>60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1">
        <v>93.82873538</v>
      </c>
      <c r="J197" s="1">
        <v>4.297948765</v>
      </c>
      <c r="K197" s="1">
        <v>1.602839669</v>
      </c>
      <c r="L197" s="1">
        <v>0.2704761905</v>
      </c>
      <c r="M197" s="1">
        <v>98.64448672</v>
      </c>
      <c r="N197" s="1">
        <v>1.188006671</v>
      </c>
      <c r="O197" s="1">
        <v>0.1675066077</v>
      </c>
      <c r="P197" s="1">
        <v>0.0</v>
      </c>
      <c r="Q197" s="2">
        <f t="shared" si="1"/>
        <v>83992953</v>
      </c>
      <c r="R197" s="2">
        <f t="shared" si="2"/>
        <v>63728814</v>
      </c>
      <c r="S197" s="2">
        <f t="shared" si="3"/>
        <v>24.12599945</v>
      </c>
      <c r="T197" s="2">
        <f t="shared" si="4"/>
        <v>84</v>
      </c>
      <c r="U197" s="2">
        <f t="shared" si="10"/>
        <v>97.48264</v>
      </c>
      <c r="V197" s="2">
        <f t="shared" si="6"/>
        <v>76</v>
      </c>
      <c r="W197" s="2">
        <f t="shared" si="7"/>
        <v>24</v>
      </c>
      <c r="X197" s="2">
        <f t="shared" si="8"/>
        <v>2</v>
      </c>
    </row>
    <row r="198">
      <c r="A198" s="1" t="s">
        <v>137</v>
      </c>
      <c r="B198" s="1" t="s">
        <v>37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1">
        <v>96.02516977</v>
      </c>
      <c r="J198" s="1">
        <v>2.684574639</v>
      </c>
      <c r="K198" s="1">
        <v>0.7882555911</v>
      </c>
      <c r="L198" s="1">
        <v>0.502</v>
      </c>
      <c r="M198" s="1">
        <v>97.32481783</v>
      </c>
      <c r="N198" s="1">
        <v>1.815385203</v>
      </c>
      <c r="O198" s="1">
        <v>0.7217969634</v>
      </c>
      <c r="P198" s="1">
        <v>0.138</v>
      </c>
      <c r="Q198" s="2">
        <f t="shared" si="1"/>
        <v>84339070</v>
      </c>
      <c r="R198" s="2">
        <f t="shared" si="2"/>
        <v>64186252</v>
      </c>
      <c r="S198" s="2">
        <f t="shared" si="3"/>
        <v>23.89499664</v>
      </c>
      <c r="T198" s="2">
        <f t="shared" si="4"/>
        <v>85</v>
      </c>
      <c r="U198" s="2">
        <f t="shared" si="10"/>
        <v>97.01427</v>
      </c>
      <c r="V198" s="2">
        <f t="shared" si="6"/>
        <v>76</v>
      </c>
      <c r="W198" s="2">
        <f t="shared" si="7"/>
        <v>24</v>
      </c>
      <c r="X198" s="2">
        <f t="shared" si="8"/>
        <v>3</v>
      </c>
    </row>
    <row r="199">
      <c r="A199" s="1" t="s">
        <v>208</v>
      </c>
      <c r="B199" s="1" t="s">
        <v>60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1">
        <v>21.98279234</v>
      </c>
      <c r="J199" s="1">
        <v>12.68294146</v>
      </c>
      <c r="K199" s="1">
        <v>51.21598167</v>
      </c>
      <c r="L199" s="1">
        <v>14.11828453</v>
      </c>
      <c r="M199" s="1">
        <v>74.50335478</v>
      </c>
      <c r="N199" s="1">
        <v>14.34445818</v>
      </c>
      <c r="O199" s="1">
        <v>10.29905862</v>
      </c>
      <c r="P199" s="1">
        <v>0.8531284131</v>
      </c>
      <c r="Q199" s="2">
        <f t="shared" si="1"/>
        <v>89561406</v>
      </c>
      <c r="R199" s="2">
        <f t="shared" si="2"/>
        <v>40874035</v>
      </c>
      <c r="S199" s="2">
        <f t="shared" si="3"/>
        <v>54.36199951</v>
      </c>
      <c r="T199" s="2">
        <f t="shared" si="4"/>
        <v>90</v>
      </c>
      <c r="U199" s="2">
        <f t="shared" si="10"/>
        <v>45.95213</v>
      </c>
      <c r="V199" s="2">
        <f t="shared" si="6"/>
        <v>46</v>
      </c>
      <c r="W199" s="2">
        <f t="shared" si="7"/>
        <v>54</v>
      </c>
      <c r="X199" s="2">
        <f t="shared" si="8"/>
        <v>2</v>
      </c>
    </row>
    <row r="200">
      <c r="A200" s="1" t="s">
        <v>227</v>
      </c>
      <c r="B200" s="1" t="s">
        <v>60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1">
        <v>95.51453844</v>
      </c>
      <c r="J200" s="1">
        <v>0.0</v>
      </c>
      <c r="K200" s="1">
        <v>4.48546156</v>
      </c>
      <c r="L200" s="1">
        <v>0.0</v>
      </c>
      <c r="M200" s="1">
        <v>99.18304001</v>
      </c>
      <c r="N200" s="1">
        <v>0.0</v>
      </c>
      <c r="O200" s="1">
        <v>0.816959987</v>
      </c>
      <c r="P200" s="1">
        <v>0.0</v>
      </c>
      <c r="Q200" s="2">
        <f t="shared" si="1"/>
        <v>97338586</v>
      </c>
      <c r="R200" s="2">
        <f t="shared" si="2"/>
        <v>36346228</v>
      </c>
      <c r="S200" s="2">
        <f t="shared" si="3"/>
        <v>62.65999985</v>
      </c>
      <c r="T200" s="2">
        <f t="shared" si="4"/>
        <v>98</v>
      </c>
      <c r="U200" s="2">
        <f t="shared" si="10"/>
        <v>96.88436</v>
      </c>
      <c r="V200" s="2">
        <f t="shared" si="6"/>
        <v>37</v>
      </c>
      <c r="W200" s="2">
        <f t="shared" si="7"/>
        <v>63</v>
      </c>
      <c r="X200" s="2">
        <f t="shared" si="8"/>
        <v>2</v>
      </c>
    </row>
    <row r="201">
      <c r="A201" s="1" t="s">
        <v>214</v>
      </c>
      <c r="B201" s="1" t="s">
        <v>60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1">
        <v>99.33283515</v>
      </c>
      <c r="J201" s="1">
        <v>0.3359418224</v>
      </c>
      <c r="K201" s="1">
        <v>0.3312230319</v>
      </c>
      <c r="L201" s="1">
        <v>0.0</v>
      </c>
      <c r="M201" s="1">
        <v>99.5837311</v>
      </c>
      <c r="N201" s="1">
        <v>0.1061012067</v>
      </c>
      <c r="O201" s="1">
        <v>0.3101676943</v>
      </c>
      <c r="P201" s="1">
        <v>0.0</v>
      </c>
      <c r="Q201" s="2">
        <f t="shared" si="1"/>
        <v>102334406</v>
      </c>
      <c r="R201" s="2">
        <f t="shared" si="2"/>
        <v>43781730</v>
      </c>
      <c r="S201" s="2">
        <f t="shared" si="3"/>
        <v>57.21699905</v>
      </c>
      <c r="T201" s="2">
        <f t="shared" si="4"/>
        <v>103</v>
      </c>
      <c r="U201" s="2">
        <f t="shared" si="10"/>
        <v>99.44018</v>
      </c>
      <c r="V201" s="2">
        <f t="shared" si="6"/>
        <v>43</v>
      </c>
      <c r="W201" s="2">
        <f t="shared" si="7"/>
        <v>57</v>
      </c>
      <c r="X201" s="2">
        <f t="shared" si="8"/>
        <v>2</v>
      </c>
    </row>
    <row r="202">
      <c r="A202" s="1" t="s">
        <v>207</v>
      </c>
      <c r="B202" s="1" t="s">
        <v>60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1">
        <v>91.06193322</v>
      </c>
      <c r="J202" s="1">
        <v>3.959520428</v>
      </c>
      <c r="K202" s="1">
        <v>4.978546347</v>
      </c>
      <c r="L202" s="1">
        <v>0.0</v>
      </c>
      <c r="M202" s="1">
        <v>97.4893325</v>
      </c>
      <c r="N202" s="1">
        <v>1.632836465</v>
      </c>
      <c r="O202" s="1">
        <v>0.877831036</v>
      </c>
      <c r="P202" s="1">
        <v>0.0</v>
      </c>
      <c r="Q202" s="2">
        <f t="shared" si="1"/>
        <v>109581086</v>
      </c>
      <c r="R202" s="2">
        <f t="shared" si="2"/>
        <v>51950198</v>
      </c>
      <c r="S202" s="2">
        <f t="shared" si="3"/>
        <v>52.59200287</v>
      </c>
      <c r="T202" s="2">
        <f t="shared" si="4"/>
        <v>110</v>
      </c>
      <c r="U202" s="2">
        <f t="shared" si="10"/>
        <v>94.10903</v>
      </c>
      <c r="V202" s="2">
        <f t="shared" si="6"/>
        <v>47</v>
      </c>
      <c r="W202" s="2">
        <f t="shared" si="7"/>
        <v>53</v>
      </c>
      <c r="X202" s="2">
        <f t="shared" si="8"/>
        <v>2</v>
      </c>
    </row>
    <row r="203">
      <c r="A203" s="1" t="s">
        <v>242</v>
      </c>
      <c r="B203" s="1" t="s">
        <v>59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1">
        <v>40.03013919</v>
      </c>
      <c r="J203" s="1">
        <v>30.18668334</v>
      </c>
      <c r="K203" s="1">
        <v>23.49561327</v>
      </c>
      <c r="L203" s="1">
        <v>6.287564203</v>
      </c>
      <c r="M203" s="1">
        <v>84.21282816</v>
      </c>
      <c r="N203" s="1">
        <v>14.30300858</v>
      </c>
      <c r="O203" s="1">
        <v>1.091582355</v>
      </c>
      <c r="P203" s="1">
        <v>0.392580896</v>
      </c>
      <c r="Q203" s="2">
        <f t="shared" si="1"/>
        <v>114963586</v>
      </c>
      <c r="R203" s="2">
        <f t="shared" si="2"/>
        <v>24941350</v>
      </c>
      <c r="S203" s="2">
        <f t="shared" si="3"/>
        <v>78.30500031</v>
      </c>
      <c r="T203" s="2">
        <f t="shared" si="4"/>
        <v>115</v>
      </c>
      <c r="U203" s="2">
        <f t="shared" si="10"/>
        <v>49.61557</v>
      </c>
      <c r="V203" s="2">
        <f t="shared" si="6"/>
        <v>22</v>
      </c>
      <c r="W203" s="2">
        <f t="shared" si="7"/>
        <v>78</v>
      </c>
      <c r="X203" s="2">
        <f t="shared" si="8"/>
        <v>1</v>
      </c>
    </row>
    <row r="204">
      <c r="A204" s="1" t="s">
        <v>93</v>
      </c>
      <c r="B204" s="1" t="s">
        <v>34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1" t="s">
        <v>26</v>
      </c>
      <c r="J204" s="1" t="s">
        <v>26</v>
      </c>
      <c r="K204" s="1" t="s">
        <v>26</v>
      </c>
      <c r="L204" s="1" t="s">
        <v>26</v>
      </c>
      <c r="M204" s="1" t="s">
        <v>26</v>
      </c>
      <c r="N204" s="1" t="s">
        <v>26</v>
      </c>
      <c r="O204" s="1" t="s">
        <v>26</v>
      </c>
      <c r="P204" s="1" t="s">
        <v>26</v>
      </c>
      <c r="Q204" s="2">
        <f t="shared" si="1"/>
        <v>126476461</v>
      </c>
      <c r="R204" s="2">
        <f t="shared" si="2"/>
        <v>116082623</v>
      </c>
      <c r="S204" s="2">
        <f t="shared" si="3"/>
        <v>8.21800232</v>
      </c>
      <c r="T204" s="2">
        <f t="shared" si="4"/>
        <v>127</v>
      </c>
      <c r="U204" s="2">
        <f t="shared" si="10"/>
        <v>99.07891</v>
      </c>
      <c r="V204" s="2">
        <f t="shared" si="6"/>
        <v>92</v>
      </c>
      <c r="W204" s="2">
        <f t="shared" si="7"/>
        <v>8</v>
      </c>
      <c r="X204" s="2">
        <f t="shared" si="8"/>
        <v>4</v>
      </c>
    </row>
    <row r="205">
      <c r="A205" s="1" t="s">
        <v>122</v>
      </c>
      <c r="B205" s="1" t="s">
        <v>37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1">
        <v>98.33706893</v>
      </c>
      <c r="J205" s="1">
        <v>0.0</v>
      </c>
      <c r="K205" s="1">
        <v>1.662931067</v>
      </c>
      <c r="L205" s="1">
        <v>0.0</v>
      </c>
      <c r="M205" s="1">
        <v>100.0</v>
      </c>
      <c r="N205" s="1">
        <v>0.0</v>
      </c>
      <c r="O205" s="1">
        <v>0.0</v>
      </c>
      <c r="P205" s="1">
        <v>0.0</v>
      </c>
      <c r="Q205" s="2">
        <f t="shared" si="1"/>
        <v>128932750</v>
      </c>
      <c r="R205" s="2">
        <f t="shared" si="2"/>
        <v>104088692</v>
      </c>
      <c r="S205" s="2">
        <f t="shared" si="3"/>
        <v>19.26900482</v>
      </c>
      <c r="T205" s="2">
        <f t="shared" si="4"/>
        <v>129</v>
      </c>
      <c r="U205" s="2">
        <f t="shared" si="10"/>
        <v>99.67957</v>
      </c>
      <c r="V205" s="2">
        <f t="shared" si="6"/>
        <v>81</v>
      </c>
      <c r="W205" s="2">
        <f t="shared" si="7"/>
        <v>19</v>
      </c>
      <c r="X205" s="2">
        <f t="shared" si="8"/>
        <v>3</v>
      </c>
    </row>
    <row r="206">
      <c r="A206" s="1" t="s">
        <v>138</v>
      </c>
      <c r="B206" s="1" t="s">
        <v>37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26</v>
      </c>
      <c r="I206" s="1">
        <v>91.54410196</v>
      </c>
      <c r="J206" s="1">
        <v>1.583163513</v>
      </c>
      <c r="K206" s="1">
        <v>6.872734531</v>
      </c>
      <c r="L206" s="1" t="s">
        <v>26</v>
      </c>
      <c r="M206" s="1">
        <v>98.83259961</v>
      </c>
      <c r="N206" s="1">
        <v>0.2973899687</v>
      </c>
      <c r="O206" s="1">
        <v>0.6700104236</v>
      </c>
      <c r="P206" s="1">
        <v>0.2</v>
      </c>
      <c r="Q206" s="2">
        <f t="shared" si="1"/>
        <v>145934453</v>
      </c>
      <c r="R206" s="2">
        <f t="shared" si="2"/>
        <v>109091849</v>
      </c>
      <c r="S206" s="2">
        <f t="shared" si="3"/>
        <v>25.24599457</v>
      </c>
      <c r="T206" s="2">
        <f t="shared" si="4"/>
        <v>146</v>
      </c>
      <c r="U206" s="2">
        <f t="shared" si="10"/>
        <v>96.99255</v>
      </c>
      <c r="V206" s="2">
        <f t="shared" si="6"/>
        <v>75</v>
      </c>
      <c r="W206" s="2">
        <f t="shared" si="7"/>
        <v>25</v>
      </c>
      <c r="X206" s="2">
        <f t="shared" si="8"/>
        <v>3</v>
      </c>
    </row>
    <row r="207">
      <c r="A207" s="1" t="s">
        <v>221</v>
      </c>
      <c r="B207" s="1" t="s">
        <v>60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1">
        <v>97.88023776</v>
      </c>
      <c r="J207" s="1">
        <v>0.8581049804</v>
      </c>
      <c r="K207" s="1">
        <v>0.3164802414</v>
      </c>
      <c r="L207" s="1">
        <v>0.9451770151</v>
      </c>
      <c r="M207" s="1">
        <v>97.40277797</v>
      </c>
      <c r="N207" s="1">
        <v>1.639520121</v>
      </c>
      <c r="O207" s="1">
        <v>0.6993752147</v>
      </c>
      <c r="P207" s="1">
        <v>0.2583266934</v>
      </c>
      <c r="Q207" s="2">
        <f t="shared" si="1"/>
        <v>164689391</v>
      </c>
      <c r="R207" s="2">
        <f t="shared" si="2"/>
        <v>62873472</v>
      </c>
      <c r="S207" s="2">
        <f t="shared" si="3"/>
        <v>61.82299805</v>
      </c>
      <c r="T207" s="2">
        <f t="shared" si="4"/>
        <v>165</v>
      </c>
      <c r="U207" s="2">
        <f t="shared" si="10"/>
        <v>97.69796</v>
      </c>
      <c r="V207" s="2">
        <f t="shared" si="6"/>
        <v>38</v>
      </c>
      <c r="W207" s="2">
        <f t="shared" si="7"/>
        <v>62</v>
      </c>
      <c r="X207" s="2">
        <f t="shared" si="8"/>
        <v>2</v>
      </c>
    </row>
    <row r="208">
      <c r="A208" s="1" t="s">
        <v>201</v>
      </c>
      <c r="B208" s="1" t="s">
        <v>60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1">
        <v>61.65821003</v>
      </c>
      <c r="J208" s="1">
        <v>7.128924583</v>
      </c>
      <c r="K208" s="1">
        <v>20.92487535</v>
      </c>
      <c r="L208" s="1">
        <v>10.28799004</v>
      </c>
      <c r="M208" s="1">
        <v>92.35770519</v>
      </c>
      <c r="N208" s="1">
        <v>2.99188065</v>
      </c>
      <c r="O208" s="1">
        <v>3.356908786</v>
      </c>
      <c r="P208" s="1">
        <v>1.29350537</v>
      </c>
      <c r="Q208" s="2">
        <f t="shared" si="1"/>
        <v>206139594</v>
      </c>
      <c r="R208" s="2">
        <f t="shared" si="2"/>
        <v>107106011</v>
      </c>
      <c r="S208" s="2">
        <f t="shared" si="3"/>
        <v>48.04199982</v>
      </c>
      <c r="T208" s="2">
        <f t="shared" si="4"/>
        <v>207</v>
      </c>
      <c r="U208" s="2">
        <f t="shared" si="10"/>
        <v>77.60905</v>
      </c>
      <c r="V208" s="2">
        <f t="shared" si="6"/>
        <v>52</v>
      </c>
      <c r="W208" s="2">
        <f t="shared" si="7"/>
        <v>48</v>
      </c>
      <c r="X208" s="2">
        <f t="shared" si="8"/>
        <v>2</v>
      </c>
    </row>
    <row r="209">
      <c r="A209" s="1" t="s">
        <v>105</v>
      </c>
      <c r="B209" s="1" t="s">
        <v>37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26</v>
      </c>
      <c r="I209" s="1">
        <v>95.94525953</v>
      </c>
      <c r="J209" s="1">
        <v>0.9789509154</v>
      </c>
      <c r="K209" s="1">
        <v>3.075789551</v>
      </c>
      <c r="L209" s="1" t="s">
        <v>26</v>
      </c>
      <c r="M209" s="1">
        <v>99.82200131</v>
      </c>
      <c r="N209" s="1">
        <v>0.0</v>
      </c>
      <c r="O209" s="1">
        <v>0.1779986949</v>
      </c>
      <c r="P209" s="1">
        <v>0.0</v>
      </c>
      <c r="Q209" s="2">
        <f t="shared" si="1"/>
        <v>212559406</v>
      </c>
      <c r="R209" s="2">
        <f t="shared" si="2"/>
        <v>185081847</v>
      </c>
      <c r="S209" s="2">
        <f t="shared" si="3"/>
        <v>12.92700195</v>
      </c>
      <c r="T209" s="2">
        <f t="shared" si="4"/>
        <v>213</v>
      </c>
      <c r="U209" s="2">
        <f t="shared" si="10"/>
        <v>99.32085</v>
      </c>
      <c r="V209" s="2">
        <f t="shared" si="6"/>
        <v>87</v>
      </c>
      <c r="W209" s="2">
        <f t="shared" si="7"/>
        <v>13</v>
      </c>
      <c r="X209" s="2">
        <f t="shared" si="8"/>
        <v>3</v>
      </c>
    </row>
    <row r="210">
      <c r="A210" s="1" t="s">
        <v>226</v>
      </c>
      <c r="B210" s="1" t="s">
        <v>60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1">
        <v>88.59986076</v>
      </c>
      <c r="J210" s="1">
        <v>3.852278117</v>
      </c>
      <c r="K210" s="1">
        <v>5.174596509</v>
      </c>
      <c r="L210" s="1">
        <v>2.373264617</v>
      </c>
      <c r="M210" s="1">
        <v>92.76804985</v>
      </c>
      <c r="N210" s="1">
        <v>3.771561162</v>
      </c>
      <c r="O210" s="1">
        <v>3.126184571</v>
      </c>
      <c r="P210" s="1">
        <v>0.3342044223</v>
      </c>
      <c r="Q210" s="2">
        <f t="shared" si="1"/>
        <v>220892328</v>
      </c>
      <c r="R210" s="2">
        <f t="shared" si="2"/>
        <v>82094636</v>
      </c>
      <c r="S210" s="2">
        <f t="shared" si="3"/>
        <v>62.83499908</v>
      </c>
      <c r="T210" s="2">
        <f t="shared" si="4"/>
        <v>221</v>
      </c>
      <c r="U210" s="2">
        <f t="shared" si="10"/>
        <v>90.14897</v>
      </c>
      <c r="V210" s="2">
        <f t="shared" si="6"/>
        <v>37</v>
      </c>
      <c r="W210" s="2">
        <f t="shared" si="7"/>
        <v>63</v>
      </c>
      <c r="X210" s="2">
        <f t="shared" si="8"/>
        <v>2</v>
      </c>
    </row>
    <row r="211">
      <c r="A211" s="1" t="s">
        <v>185</v>
      </c>
      <c r="B211" s="1" t="s">
        <v>60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1">
        <v>85.66796238</v>
      </c>
      <c r="J211" s="1">
        <v>1.17809123</v>
      </c>
      <c r="K211" s="1">
        <v>10.61491462</v>
      </c>
      <c r="L211" s="1">
        <v>2.539031772</v>
      </c>
      <c r="M211" s="1">
        <v>97.58051207</v>
      </c>
      <c r="N211" s="1">
        <v>0.6085098345</v>
      </c>
      <c r="O211" s="1">
        <v>1.679615139</v>
      </c>
      <c r="P211" s="1">
        <v>0.1313629588</v>
      </c>
      <c r="Q211" s="2">
        <f t="shared" si="1"/>
        <v>273523625</v>
      </c>
      <c r="R211" s="2">
        <f t="shared" si="2"/>
        <v>154926513</v>
      </c>
      <c r="S211" s="2">
        <f t="shared" si="3"/>
        <v>43.35900116</v>
      </c>
      <c r="T211" s="2">
        <f t="shared" si="4"/>
        <v>274</v>
      </c>
      <c r="U211" s="2">
        <f t="shared" si="10"/>
        <v>92.41535</v>
      </c>
      <c r="V211" s="2">
        <f t="shared" si="6"/>
        <v>57</v>
      </c>
      <c r="W211" s="2">
        <f t="shared" si="7"/>
        <v>43</v>
      </c>
      <c r="X211" s="2">
        <f t="shared" si="8"/>
        <v>2</v>
      </c>
    </row>
    <row r="212">
      <c r="A212" s="1" t="s">
        <v>116</v>
      </c>
      <c r="B212" s="1" t="s">
        <v>34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1">
        <v>99.67078734</v>
      </c>
      <c r="J212" s="1">
        <v>0.0</v>
      </c>
      <c r="K212" s="1">
        <v>0.3292126628</v>
      </c>
      <c r="L212" s="1">
        <v>0.0</v>
      </c>
      <c r="M212" s="1">
        <v>99.92814447</v>
      </c>
      <c r="N212" s="1">
        <v>0.0</v>
      </c>
      <c r="O212" s="1">
        <v>0.0718555296</v>
      </c>
      <c r="P212" s="1">
        <v>0.0</v>
      </c>
      <c r="Q212" s="2">
        <f t="shared" si="1"/>
        <v>331002656</v>
      </c>
      <c r="R212" s="2">
        <f t="shared" si="2"/>
        <v>273620040</v>
      </c>
      <c r="S212" s="2">
        <f t="shared" si="3"/>
        <v>17.33599854</v>
      </c>
      <c r="T212" s="2">
        <f t="shared" si="4"/>
        <v>332</v>
      </c>
      <c r="U212" s="2">
        <f t="shared" si="10"/>
        <v>99.88353</v>
      </c>
      <c r="V212" s="2">
        <f t="shared" si="6"/>
        <v>83</v>
      </c>
      <c r="W212" s="2">
        <f t="shared" si="7"/>
        <v>17</v>
      </c>
      <c r="X212" s="2">
        <f t="shared" si="8"/>
        <v>4</v>
      </c>
    </row>
    <row r="213">
      <c r="A213" s="1" t="s">
        <v>229</v>
      </c>
      <c r="B213" s="1" t="s">
        <v>60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1">
        <v>88.78250313</v>
      </c>
      <c r="J213" s="1">
        <v>5.902210054</v>
      </c>
      <c r="K213" s="1">
        <v>4.57637573</v>
      </c>
      <c r="L213" s="1">
        <v>0.7389110856</v>
      </c>
      <c r="M213" s="1">
        <v>93.6700363</v>
      </c>
      <c r="N213" s="1">
        <v>3.272056027</v>
      </c>
      <c r="O213" s="1">
        <v>2.820607523</v>
      </c>
      <c r="P213" s="1">
        <v>0.2373001538</v>
      </c>
      <c r="Q213" s="2">
        <f t="shared" si="1"/>
        <v>1380004375</v>
      </c>
      <c r="R213" s="2">
        <f t="shared" si="2"/>
        <v>481980363</v>
      </c>
      <c r="S213" s="2">
        <f t="shared" si="3"/>
        <v>65.0739975</v>
      </c>
      <c r="T213" s="2">
        <f t="shared" si="4"/>
        <v>1381</v>
      </c>
      <c r="U213" s="2">
        <f t="shared" si="10"/>
        <v>90.48953</v>
      </c>
      <c r="V213" s="2">
        <f t="shared" si="6"/>
        <v>35</v>
      </c>
      <c r="W213" s="2">
        <f t="shared" si="7"/>
        <v>65</v>
      </c>
      <c r="X213" s="2">
        <f t="shared" si="8"/>
        <v>2</v>
      </c>
    </row>
    <row r="214">
      <c r="A214" s="1" t="s">
        <v>170</v>
      </c>
      <c r="B214" s="1" t="s">
        <v>37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0.1987161441</v>
      </c>
      <c r="I214" s="1">
        <v>89.66123351</v>
      </c>
      <c r="J214" s="1">
        <v>1.832679086</v>
      </c>
      <c r="K214" s="1">
        <v>8.506087409</v>
      </c>
      <c r="L214" s="1">
        <v>0.0</v>
      </c>
      <c r="M214" s="1">
        <v>97.11488267</v>
      </c>
      <c r="N214" s="1">
        <v>0.1831784927</v>
      </c>
      <c r="O214" s="1">
        <v>2.37993884</v>
      </c>
      <c r="P214" s="1">
        <v>0.322</v>
      </c>
      <c r="Q214" s="2">
        <f t="shared" si="1"/>
        <v>1463140500</v>
      </c>
      <c r="R214" s="2">
        <f t="shared" si="2"/>
        <v>902949199</v>
      </c>
      <c r="S214" s="2">
        <f t="shared" si="3"/>
        <v>38.28691101</v>
      </c>
      <c r="T214" s="2">
        <f t="shared" si="4"/>
        <v>1464</v>
      </c>
      <c r="U214" s="2">
        <f t="shared" si="10"/>
        <v>94.26111</v>
      </c>
      <c r="V214" s="2">
        <f t="shared" si="6"/>
        <v>62</v>
      </c>
      <c r="W214" s="2">
        <f t="shared" si="7"/>
        <v>38</v>
      </c>
      <c r="X214" s="2">
        <f t="shared" si="8"/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2" width="21.13"/>
    <col customWidth="1" min="3" max="3" width="18.75"/>
    <col customWidth="1" min="4" max="4" width="18.88"/>
    <col customWidth="1" min="5" max="5" width="16.88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18.88"/>
    <col customWidth="1" min="3" max="3" width="25.0"/>
    <col customWidth="1" min="4" max="4" width="19.25"/>
    <col customWidth="1" min="5" max="5" width="18.75"/>
    <col customWidth="1" min="6" max="6" width="21.13"/>
    <col customWidth="1" min="7" max="7" width="18.88"/>
  </cols>
  <sheetData>
    <row r="1"/>
    <row r="2"/>
    <row r="3"/>
    <row r="4"/>
    <row r="5"/>
    <row r="6"/>
    <row r="11">
      <c r="A11" s="1" t="s">
        <v>254</v>
      </c>
    </row>
    <row r="12">
      <c r="A12" s="1" t="s">
        <v>255</v>
      </c>
    </row>
    <row r="13">
      <c r="A13" s="1" t="s">
        <v>256</v>
      </c>
    </row>
    <row r="14">
      <c r="A14" s="1" t="s">
        <v>257</v>
      </c>
    </row>
    <row r="15">
      <c r="A15" s="1" t="s">
        <v>258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9.25"/>
    <col customWidth="1" min="4" max="4" width="18.75"/>
    <col customWidth="1" min="5" max="5" width="21.13"/>
    <col customWidth="1" min="6" max="6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3.13"/>
    <col customWidth="1" min="3" max="3" width="13.75"/>
    <col customWidth="1" min="5" max="5" width="12.75"/>
    <col customWidth="1" min="6" max="6" width="23.13"/>
    <col customWidth="1" min="7" max="7" width="20.25"/>
    <col customWidth="1" min="10" max="10" width="24.63"/>
    <col customWidth="1" min="11" max="11" width="15.25"/>
    <col customWidth="1" min="12" max="12" width="17.0"/>
  </cols>
  <sheetData>
    <row r="1">
      <c r="A1" s="3" t="s">
        <v>263</v>
      </c>
      <c r="C1" s="3" t="s">
        <v>264</v>
      </c>
      <c r="E1" s="4" t="s">
        <v>265</v>
      </c>
      <c r="G1" s="4" t="s">
        <v>266</v>
      </c>
      <c r="I1" s="5" t="s">
        <v>3</v>
      </c>
      <c r="K1" s="5" t="s">
        <v>267</v>
      </c>
    </row>
    <row r="2">
      <c r="A2" s="6">
        <f>SUM('Estimates-on-the-use-of-water-('!Q2:Q214)</f>
        <v>7786695108</v>
      </c>
      <c r="C2" s="3">
        <f>7.821*1000000000</f>
        <v>7821000000</v>
      </c>
      <c r="E2" s="7">
        <f>SUM('Estimates-on-the-use-of-water-('!R2:R214)</f>
        <v>4375308457</v>
      </c>
      <c r="G2" s="7">
        <f>(55/100)*C2</f>
        <v>4301550000</v>
      </c>
      <c r="I2" s="8">
        <f>E2/A2*100</f>
        <v>56.18954378</v>
      </c>
      <c r="K2" s="5">
        <v>55.0</v>
      </c>
    </row>
    <row r="5">
      <c r="B5" s="3" t="s">
        <v>268</v>
      </c>
      <c r="F5" s="4" t="s">
        <v>269</v>
      </c>
      <c r="J5" s="5" t="s">
        <v>270</v>
      </c>
    </row>
    <row r="6">
      <c r="B6" s="6">
        <f>((ABS(A2-C2))/(SUM(A2,C2)/2))*100</f>
        <v>0.4395894687</v>
      </c>
      <c r="F6" s="7">
        <f>((ABS(E2-G2))/(SUM(E2,G2)/2))*100</f>
        <v>1.70011894</v>
      </c>
      <c r="J6" s="8">
        <f>((ABS(I2-K2))/(SUM(I2,K2)/2))*100</f>
        <v>2.139668431</v>
      </c>
    </row>
    <row r="11">
      <c r="G11" s="9" t="s">
        <v>271</v>
      </c>
    </row>
    <row r="12">
      <c r="A12" s="10"/>
      <c r="B12" s="11" t="s">
        <v>272</v>
      </c>
      <c r="C12" s="11" t="s">
        <v>273</v>
      </c>
      <c r="D12" s="11" t="s">
        <v>274</v>
      </c>
      <c r="E12" s="11" t="s">
        <v>275</v>
      </c>
      <c r="F12" s="11" t="s">
        <v>276</v>
      </c>
      <c r="G12" s="10" t="s">
        <v>277</v>
      </c>
      <c r="H12" s="10" t="s">
        <v>278</v>
      </c>
      <c r="I12" s="10" t="s">
        <v>279</v>
      </c>
      <c r="J12" s="10" t="s">
        <v>280</v>
      </c>
      <c r="K12" s="10" t="s">
        <v>281</v>
      </c>
    </row>
    <row r="13">
      <c r="A13" s="12" t="s">
        <v>282</v>
      </c>
      <c r="B13" s="13">
        <f>MIN('Estimates-on-the-use-of-water-('!U2:U214)</f>
        <v>37.2024</v>
      </c>
      <c r="C13" s="13">
        <f>QUARTILE('Estimates-on-the-use-of-water-('!U2:U214,1)</f>
        <v>85.643315</v>
      </c>
      <c r="D13" s="13">
        <f>MEDIAN('Estimates-on-the-use-of-water-('!U2:U214)</f>
        <v>97.34814</v>
      </c>
      <c r="E13" s="13">
        <f>QUARTILE('Estimates-on-the-use-of-water-('!U2:U214,3)</f>
        <v>99.887525</v>
      </c>
      <c r="F13" s="13">
        <f>MAX('Estimates-on-the-use-of-water-('!U2:U214)</f>
        <v>100</v>
      </c>
      <c r="G13" s="14">
        <f>AVERAGE('Estimates-on-the-use-of-water-('!U2:U214)</f>
        <v>89.8647827</v>
      </c>
      <c r="H13" s="14">
        <f>MODE('Estimates-on-the-use-of-water-('!U2:U214)</f>
        <v>100</v>
      </c>
      <c r="I13" s="14">
        <f t="shared" ref="I13:I16" si="1">F13-B13</f>
        <v>62.7976</v>
      </c>
      <c r="J13" s="14">
        <f t="shared" ref="J13:J16" si="2">E13-C13</f>
        <v>14.24421</v>
      </c>
      <c r="K13" s="14">
        <f>STDEV('Estimates-on-the-use-of-water-('!U2:U214)</f>
        <v>15.08742698</v>
      </c>
    </row>
    <row r="14">
      <c r="A14" s="15" t="s">
        <v>5</v>
      </c>
      <c r="B14" s="13">
        <f>MIN('Estimates-on-the-use-of-water-('!F2:F214)</f>
        <v>0</v>
      </c>
      <c r="C14" s="13">
        <f>QUARTILE('Estimates-on-the-use-of-water-('!F2:F214,1)</f>
        <v>0</v>
      </c>
      <c r="D14" s="13">
        <f>MEDIAN('Estimates-on-the-use-of-water-('!F2:F214)</f>
        <v>0.4707829181</v>
      </c>
      <c r="E14" s="13">
        <f>QUARTILE('Estimates-on-the-use-of-water-('!F2:F214,3)</f>
        <v>4.851219157</v>
      </c>
      <c r="F14" s="13">
        <f>MAX('Estimates-on-the-use-of-water-('!F2:F214)</f>
        <v>37.42696287</v>
      </c>
      <c r="G14" s="14">
        <f>AVERAGE('Estimates-on-the-use-of-water-('!F2:F214)</f>
        <v>3.865265345</v>
      </c>
      <c r="H14" s="14">
        <f>MODE('Estimates-on-the-use-of-water-('!F2:F214)</f>
        <v>0</v>
      </c>
      <c r="I14" s="14">
        <f t="shared" si="1"/>
        <v>37.42696287</v>
      </c>
      <c r="J14" s="14">
        <f t="shared" si="2"/>
        <v>4.851219157</v>
      </c>
      <c r="K14" s="14">
        <f>STDEV('Estimates-on-the-use-of-water-('!F2:F214)</f>
        <v>6.960846633</v>
      </c>
    </row>
    <row r="15">
      <c r="A15" s="15" t="s">
        <v>6</v>
      </c>
      <c r="B15" s="13">
        <f>MIN('Estimates-on-the-use-of-water-('!G2:G214)</f>
        <v>0</v>
      </c>
      <c r="C15" s="13">
        <f>QUARTILE('Estimates-on-the-use-of-water-('!G2:G214,1)</f>
        <v>0.03390622265</v>
      </c>
      <c r="D15" s="13">
        <f>MEDIAN('Estimates-on-the-use-of-water-('!G2:G214)</f>
        <v>0.8536474704</v>
      </c>
      <c r="E15" s="13">
        <f>QUARTILE('Estimates-on-the-use-of-water-('!G2:G214,3)</f>
        <v>5.279309922</v>
      </c>
      <c r="F15" s="13">
        <f>MAX('Estimates-on-the-use-of-water-('!G2:G214)</f>
        <v>33.53911377</v>
      </c>
      <c r="G15" s="14">
        <f>AVERAGE('Estimates-on-the-use-of-water-('!G2:G214)</f>
        <v>4.418010654</v>
      </c>
      <c r="H15" s="14">
        <f>MODE('Estimates-on-the-use-of-water-('!G2:G214)</f>
        <v>0</v>
      </c>
      <c r="I15" s="14">
        <f t="shared" si="1"/>
        <v>33.53911377</v>
      </c>
      <c r="J15" s="14">
        <f t="shared" si="2"/>
        <v>5.245403699</v>
      </c>
      <c r="K15" s="14">
        <f>STDEV('Estimates-on-the-use-of-water-('!G2:G214)</f>
        <v>7.174477036</v>
      </c>
    </row>
    <row r="16">
      <c r="A16" s="15" t="s">
        <v>7</v>
      </c>
      <c r="B16" s="13">
        <f>MIN('Estimates-on-the-use-of-water-('!H2:H214)</f>
        <v>0</v>
      </c>
      <c r="C16" s="13">
        <f>QUARTILE('Estimates-on-the-use-of-water-('!H2:H214,1)</f>
        <v>0</v>
      </c>
      <c r="D16" s="13">
        <f>MEDIAN('Estimates-on-the-use-of-water-('!H2:H214)</f>
        <v>0</v>
      </c>
      <c r="E16" s="13">
        <f>QUARTILE('Estimates-on-the-use-of-water-('!H2:H214,3)</f>
        <v>1.878301993</v>
      </c>
      <c r="F16" s="13">
        <f>MAX('Estimates-on-the-use-of-water-('!H2:H214)</f>
        <v>30.36979308</v>
      </c>
      <c r="G16" s="14">
        <f>AVERAGE('Estimates-on-the-use-of-water-('!H2:H214)</f>
        <v>1.915488584</v>
      </c>
      <c r="H16" s="14">
        <f>MODE('Estimates-on-the-use-of-water-('!H2:H214)</f>
        <v>0</v>
      </c>
      <c r="I16" s="14">
        <f t="shared" si="1"/>
        <v>30.36979308</v>
      </c>
      <c r="J16" s="14">
        <f t="shared" si="2"/>
        <v>1.878301993</v>
      </c>
      <c r="K16" s="14">
        <f>STDEV('Estimates-on-the-use-of-water-('!H2:H214)</f>
        <v>3.923973987</v>
      </c>
    </row>
    <row r="17">
      <c r="A17" s="16"/>
      <c r="B17" s="16"/>
      <c r="C17" s="10"/>
      <c r="D17" s="14"/>
      <c r="E17" s="14"/>
      <c r="F17" s="14"/>
      <c r="G17" s="14"/>
      <c r="H17" s="14"/>
      <c r="I17" s="16"/>
      <c r="J17" s="16"/>
      <c r="K17" s="14"/>
    </row>
    <row r="18">
      <c r="A18" s="10"/>
      <c r="B18" s="11" t="s">
        <v>272</v>
      </c>
      <c r="C18" s="11" t="s">
        <v>273</v>
      </c>
      <c r="D18" s="17" t="s">
        <v>274</v>
      </c>
      <c r="E18" s="17" t="s">
        <v>275</v>
      </c>
      <c r="F18" s="17" t="s">
        <v>276</v>
      </c>
      <c r="G18" s="18" t="s">
        <v>277</v>
      </c>
      <c r="H18" s="18" t="s">
        <v>278</v>
      </c>
      <c r="I18" s="10" t="s">
        <v>279</v>
      </c>
      <c r="J18" s="10" t="s">
        <v>280</v>
      </c>
      <c r="K18" s="18" t="s">
        <v>281</v>
      </c>
    </row>
    <row r="19">
      <c r="A19" s="15" t="s">
        <v>12</v>
      </c>
      <c r="B19" s="13">
        <f>MIN('Estimates-on-the-use-of-water-('!M2:M214)</f>
        <v>49.66166495</v>
      </c>
      <c r="C19" s="13">
        <f>QUARTILE('Estimates-on-the-use-of-water-('!M2:M214,1)</f>
        <v>92.56287752</v>
      </c>
      <c r="D19" s="13">
        <f>MEDIAN('Estimates-on-the-use-of-water-('!M2:M214)</f>
        <v>98.10662849</v>
      </c>
      <c r="E19" s="13">
        <f>QUARTILE('Estimates-on-the-use-of-water-('!M2:M214,3)</f>
        <v>99.94941803</v>
      </c>
      <c r="F19" s="13">
        <f>MAX('Estimates-on-the-use-of-water-('!M2:M214)</f>
        <v>100</v>
      </c>
      <c r="G19" s="14">
        <f>AVERAGE('Estimates-on-the-use-of-water-('!M2:M214)</f>
        <v>94.68983975</v>
      </c>
      <c r="H19" s="14">
        <f>MODE('Estimates-on-the-use-of-water-('!M2:M214)</f>
        <v>100</v>
      </c>
      <c r="I19" s="14">
        <f t="shared" ref="I19:I22" si="3">F19-B19</f>
        <v>50.33833505</v>
      </c>
      <c r="J19" s="14">
        <f t="shared" ref="J19:J22" si="4">E19-C19</f>
        <v>7.38654051</v>
      </c>
      <c r="K19" s="14">
        <f>STDEV('Estimates-on-the-use-of-water-('!M2:M214)</f>
        <v>8.03886161</v>
      </c>
    </row>
    <row r="20">
      <c r="A20" s="15" t="s">
        <v>13</v>
      </c>
      <c r="B20" s="13">
        <f>MIN('Estimates-on-the-use-of-water-('!N2:N214)</f>
        <v>0</v>
      </c>
      <c r="C20" s="13">
        <f>QUARTILE('Estimates-on-the-use-of-water-('!N2:N214,1)</f>
        <v>0</v>
      </c>
      <c r="D20" s="13">
        <f>MEDIAN('Estimates-on-the-use-of-water-('!N2:N214)</f>
        <v>0.5</v>
      </c>
      <c r="E20" s="13">
        <f>QUARTILE('Estimates-on-the-use-of-water-('!N2:N214,3)</f>
        <v>3.966347184</v>
      </c>
      <c r="F20" s="13">
        <f>MAX('Estimates-on-the-use-of-water-('!N2:N214)</f>
        <v>34.27978009</v>
      </c>
      <c r="G20" s="14">
        <f>AVERAGE('Estimates-on-the-use-of-water-('!N2:N214)</f>
        <v>3.281838654</v>
      </c>
      <c r="H20" s="14">
        <f>MODE('Estimates-on-the-use-of-water-('!N2:N214)</f>
        <v>0</v>
      </c>
      <c r="I20" s="14">
        <f t="shared" si="3"/>
        <v>34.27978009</v>
      </c>
      <c r="J20" s="14">
        <f t="shared" si="4"/>
        <v>3.966347184</v>
      </c>
      <c r="K20" s="14">
        <f>STDEV('Estimates-on-the-use-of-water-('!N2:N214)</f>
        <v>5.63506705</v>
      </c>
    </row>
    <row r="21">
      <c r="A21" s="15" t="s">
        <v>14</v>
      </c>
      <c r="B21" s="13">
        <f>MIN('Estimates-on-the-use-of-water-('!O2:O214)</f>
        <v>0</v>
      </c>
      <c r="C21" s="13">
        <f>QUARTILE('Estimates-on-the-use-of-water-('!O2:O214,1)</f>
        <v>0</v>
      </c>
      <c r="D21" s="13">
        <f>MEDIAN('Estimates-on-the-use-of-water-('!O2:O214)</f>
        <v>0.3498740029</v>
      </c>
      <c r="E21" s="13">
        <f>QUARTILE('Estimates-on-the-use-of-water-('!O2:O214,3)</f>
        <v>2.059001302</v>
      </c>
      <c r="F21" s="13">
        <f>MAX('Estimates-on-the-use-of-water-('!O2:O214)</f>
        <v>19.83580681</v>
      </c>
      <c r="G21" s="14">
        <f>AVERAGE('Estimates-on-the-use-of-water-('!O2:O214)</f>
        <v>1.71878521</v>
      </c>
      <c r="H21" s="14">
        <f>MODE('Estimates-on-the-use-of-water-('!O2:O214)</f>
        <v>0</v>
      </c>
      <c r="I21" s="14">
        <f t="shared" si="3"/>
        <v>19.83580681</v>
      </c>
      <c r="J21" s="14">
        <f t="shared" si="4"/>
        <v>2.059001302</v>
      </c>
      <c r="K21" s="14">
        <f>STDEV('Estimates-on-the-use-of-water-('!O2:O214)</f>
        <v>3.23457032</v>
      </c>
    </row>
    <row r="22">
      <c r="A22" s="15" t="s">
        <v>15</v>
      </c>
      <c r="B22" s="13">
        <f>MIN('Estimates-on-the-use-of-water-('!P2:P214)</f>
        <v>0</v>
      </c>
      <c r="C22" s="13">
        <f>QUARTILE('Estimates-on-the-use-of-water-('!P2:P214,1)</f>
        <v>0</v>
      </c>
      <c r="D22" s="13">
        <f>MEDIAN('Estimates-on-the-use-of-water-('!P2:P214)</f>
        <v>0</v>
      </c>
      <c r="E22" s="13">
        <f>QUARTILE('Estimates-on-the-use-of-water-('!P2:P214,3)</f>
        <v>0.1597056849</v>
      </c>
      <c r="F22" s="13">
        <f>MAX('Estimates-on-the-use-of-water-('!P2:P214)</f>
        <v>6.362160532</v>
      </c>
      <c r="G22" s="14">
        <f>AVERAGE('Estimates-on-the-use-of-water-('!P2:P214)</f>
        <v>0.3131148443</v>
      </c>
      <c r="H22" s="14">
        <f>MODE('Estimates-on-the-use-of-water-('!P2:P214)</f>
        <v>0</v>
      </c>
      <c r="I22" s="14">
        <f t="shared" si="3"/>
        <v>6.362160532</v>
      </c>
      <c r="J22" s="14">
        <f t="shared" si="4"/>
        <v>0.1597056849</v>
      </c>
      <c r="K22" s="14">
        <f>STDEV('Estimates-on-the-use-of-water-('!P2:P214)</f>
        <v>0.8696316426</v>
      </c>
    </row>
    <row r="23">
      <c r="A23" s="16"/>
      <c r="B23" s="16"/>
      <c r="C23" s="10"/>
      <c r="D23" s="14"/>
      <c r="E23" s="14"/>
      <c r="F23" s="14"/>
      <c r="G23" s="14"/>
      <c r="H23" s="14"/>
      <c r="I23" s="16"/>
      <c r="J23" s="16"/>
      <c r="K23" s="14"/>
    </row>
    <row r="24">
      <c r="A24" s="10"/>
      <c r="B24" s="11" t="s">
        <v>272</v>
      </c>
      <c r="C24" s="11" t="s">
        <v>273</v>
      </c>
      <c r="D24" s="17" t="s">
        <v>274</v>
      </c>
      <c r="E24" s="17" t="s">
        <v>275</v>
      </c>
      <c r="F24" s="17" t="s">
        <v>276</v>
      </c>
      <c r="G24" s="18" t="s">
        <v>277</v>
      </c>
      <c r="H24" s="18" t="s">
        <v>278</v>
      </c>
      <c r="I24" s="10" t="s">
        <v>279</v>
      </c>
      <c r="J24" s="10" t="s">
        <v>280</v>
      </c>
      <c r="K24" s="18" t="s">
        <v>281</v>
      </c>
    </row>
    <row r="25">
      <c r="A25" s="15" t="s">
        <v>8</v>
      </c>
      <c r="B25" s="13">
        <f>MIN('Estimates-on-the-use-of-water-('!I2:I214)</f>
        <v>21.98279234</v>
      </c>
      <c r="C25" s="13">
        <f>QUARTILE('Estimates-on-the-use-of-water-('!I2:I214,1)</f>
        <v>64.8254211</v>
      </c>
      <c r="D25" s="13">
        <f>MEDIAN('Estimates-on-the-use-of-water-('!I2:I214)</f>
        <v>90.73161683</v>
      </c>
      <c r="E25" s="13">
        <f>QUARTILE('Estimates-on-the-use-of-water-('!I2:I214,3)</f>
        <v>99.11924249</v>
      </c>
      <c r="F25" s="13">
        <f>MAX('Estimates-on-the-use-of-water-('!I2:I214)</f>
        <v>100</v>
      </c>
      <c r="G25" s="14">
        <f>AVERAGE('Estimates-on-the-use-of-water-('!I2:I214)</f>
        <v>81.33591803</v>
      </c>
      <c r="H25" s="14">
        <f>MODE('Estimates-on-the-use-of-water-('!I2:I214)</f>
        <v>100</v>
      </c>
      <c r="I25" s="14">
        <f t="shared" ref="I25:I28" si="5">F25-B25</f>
        <v>78.01720766</v>
      </c>
      <c r="J25" s="14">
        <f t="shared" ref="J25:J28" si="6">E25-C25</f>
        <v>34.29382139</v>
      </c>
      <c r="K25" s="14">
        <f>STDEV('Estimates-on-the-use-of-water-('!I2:I214)</f>
        <v>21.50663741</v>
      </c>
    </row>
    <row r="26">
      <c r="A26" s="15" t="s">
        <v>9</v>
      </c>
      <c r="B26" s="13">
        <f>MIN('Estimates-on-the-use-of-water-('!J2:J214)</f>
        <v>0</v>
      </c>
      <c r="C26" s="13">
        <f>QUARTILE('Estimates-on-the-use-of-water-('!J2:J214,1)</f>
        <v>0</v>
      </c>
      <c r="D26" s="13">
        <f>MEDIAN('Estimates-on-the-use-of-water-('!J2:J214)</f>
        <v>1.812330835</v>
      </c>
      <c r="E26" s="13">
        <f>QUARTILE('Estimates-on-the-use-of-water-('!J2:J214,3)</f>
        <v>8.553175126</v>
      </c>
      <c r="F26" s="13">
        <f>MAX('Estimates-on-the-use-of-water-('!J2:J214)</f>
        <v>42.16438068</v>
      </c>
      <c r="G26" s="14">
        <f>AVERAGE('Estimates-on-the-use-of-water-('!J2:J214)</f>
        <v>5.836562548</v>
      </c>
      <c r="H26" s="14">
        <f>MODE('Estimates-on-the-use-of-water-('!J2:J214)</f>
        <v>0</v>
      </c>
      <c r="I26" s="14">
        <f t="shared" si="5"/>
        <v>42.16438068</v>
      </c>
      <c r="J26" s="14">
        <f t="shared" si="6"/>
        <v>8.553175126</v>
      </c>
      <c r="K26" s="14">
        <f>STDEV('Estimates-on-the-use-of-water-('!J2:J214)</f>
        <v>8.704765846</v>
      </c>
    </row>
    <row r="27">
      <c r="A27" s="15" t="s">
        <v>10</v>
      </c>
      <c r="B27" s="13">
        <f>MIN('Estimates-on-the-use-of-water-('!K2:K214)</f>
        <v>0</v>
      </c>
      <c r="C27" s="13">
        <f>QUARTILE('Estimates-on-the-use-of-water-('!K2:K214,1)</f>
        <v>0.1584109169</v>
      </c>
      <c r="D27" s="13">
        <f>MEDIAN('Estimates-on-the-use-of-water-('!K2:K214)</f>
        <v>3.229749713</v>
      </c>
      <c r="E27" s="13">
        <f>QUARTILE('Estimates-on-the-use-of-water-('!K2:K214,3)</f>
        <v>13.2663393</v>
      </c>
      <c r="F27" s="13">
        <f>MAX('Estimates-on-the-use-of-water-('!K2:K214)</f>
        <v>51.21598167</v>
      </c>
      <c r="G27" s="14">
        <f>AVERAGE('Estimates-on-the-use-of-water-('!K2:K214)</f>
        <v>8.732261484</v>
      </c>
      <c r="H27" s="14">
        <f>MODE('Estimates-on-the-use-of-water-('!K2:K214)</f>
        <v>0</v>
      </c>
      <c r="I27" s="14">
        <f t="shared" si="5"/>
        <v>51.21598167</v>
      </c>
      <c r="J27" s="14">
        <f t="shared" si="6"/>
        <v>13.10792838</v>
      </c>
      <c r="K27" s="14">
        <f>STDEV('Estimates-on-the-use-of-water-('!K2:K214)</f>
        <v>11.82849434</v>
      </c>
    </row>
    <row r="28">
      <c r="A28" s="15" t="s">
        <v>11</v>
      </c>
      <c r="B28" s="13">
        <f>MIN('Estimates-on-the-use-of-water-('!L2:L214)</f>
        <v>0</v>
      </c>
      <c r="C28" s="13">
        <f>QUARTILE('Estimates-on-the-use-of-water-('!L2:L214,1)</f>
        <v>0</v>
      </c>
      <c r="D28" s="13">
        <f>MEDIAN('Estimates-on-the-use-of-water-('!L2:L214)</f>
        <v>0.2196897375</v>
      </c>
      <c r="E28" s="13">
        <f>QUARTILE('Estimates-on-the-use-of-water-('!L2:L214,3)</f>
        <v>6.157471481</v>
      </c>
      <c r="F28" s="13">
        <f>MAX('Estimates-on-the-use-of-water-('!L2:L214)</f>
        <v>40.51813242</v>
      </c>
      <c r="G28" s="14">
        <f>AVERAGE('Estimates-on-the-use-of-water-('!L2:L214)</f>
        <v>4.224039638</v>
      </c>
      <c r="H28" s="14">
        <f>MODE('Estimates-on-the-use-of-water-('!L2:L214)</f>
        <v>0</v>
      </c>
      <c r="I28" s="14">
        <f t="shared" si="5"/>
        <v>40.51813242</v>
      </c>
      <c r="J28" s="14">
        <f t="shared" si="6"/>
        <v>6.157471481</v>
      </c>
      <c r="K28" s="14">
        <f>STDEV('Estimates-on-the-use-of-water-('!L2:L214)</f>
        <v>6.847951395</v>
      </c>
    </row>
    <row r="75">
      <c r="K75" s="1"/>
    </row>
    <row r="102">
      <c r="K102" s="1"/>
    </row>
    <row r="133">
      <c r="K133" s="1"/>
    </row>
    <row r="145">
      <c r="G145" s="1" t="s">
        <v>283</v>
      </c>
    </row>
    <row r="157">
      <c r="K157" s="1"/>
    </row>
    <row r="168">
      <c r="G168" s="1" t="s">
        <v>284</v>
      </c>
    </row>
    <row r="181">
      <c r="L181" s="1"/>
    </row>
    <row r="195">
      <c r="G195" s="1" t="s">
        <v>285</v>
      </c>
    </row>
    <row r="210">
      <c r="L210" s="1"/>
    </row>
    <row r="234">
      <c r="B234" s="1"/>
    </row>
    <row r="240">
      <c r="L240" s="1"/>
    </row>
  </sheetData>
  <drawing r:id="rId1"/>
</worksheet>
</file>